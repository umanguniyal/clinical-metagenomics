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U:\SCE\BIOLSCI\RESEARCH GROUPS\mutapi\GROUP MEMBERS\Helmi\2025-2026\MW\VIRUS DATABASE WORK\DATABASE\Revised for submission\"/>
    </mc:Choice>
  </mc:AlternateContent>
  <xr:revisionPtr revIDLastSave="0" documentId="13_ncr:1_{21970247-2111-4BCC-B80E-A9793923C8BA}" xr6:coauthVersionLast="47" xr6:coauthVersionMax="47" xr10:uidLastSave="{00000000-0000-0000-0000-000000000000}"/>
  <bookViews>
    <workbookView xWindow="-28920" yWindow="-1965" windowWidth="29040" windowHeight="17520" xr2:uid="{00000000-000D-0000-FFFF-FFFF00000000}"/>
  </bookViews>
  <sheets>
    <sheet name="data" sheetId="1" r:id="rId1"/>
  </sheets>
  <definedNames>
    <definedName name="_xlnm._FilterDatabase" localSheetId="0" hidden="1">data!$A$1:$BV$240</definedName>
    <definedName name="A83.3" localSheetId="0">data!#REF!</definedName>
    <definedName name="A83.5" localSheetId="0">data!#REF!</definedName>
    <definedName name="A83.8" localSheetId="0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8" i="1" l="1"/>
  <c r="N56" i="1"/>
  <c r="N146" i="1"/>
  <c r="N211" i="1"/>
  <c r="N214" i="1"/>
  <c r="N5" i="1"/>
  <c r="N45" i="1"/>
  <c r="N43" i="1"/>
  <c r="N49" i="1"/>
  <c r="N84" i="1"/>
  <c r="N93" i="1"/>
  <c r="N94" i="1"/>
  <c r="N103" i="1"/>
  <c r="N102" i="1"/>
  <c r="N108" i="1"/>
  <c r="N117" i="1"/>
  <c r="N142" i="1"/>
  <c r="N141" i="1"/>
  <c r="N140" i="1"/>
  <c r="N193" i="1"/>
  <c r="N206" i="1"/>
  <c r="P234" i="1"/>
  <c r="P206" i="1"/>
  <c r="P126" i="1"/>
  <c r="P125" i="1"/>
  <c r="P118" i="1"/>
  <c r="R49" i="1"/>
  <c r="V90" i="1"/>
  <c r="AF191" i="1"/>
  <c r="AF126" i="1"/>
  <c r="AF118" i="1"/>
  <c r="AE103" i="1"/>
  <c r="AF103" i="1"/>
  <c r="AE49" i="1"/>
  <c r="AM90" i="1"/>
  <c r="U44" i="1"/>
  <c r="U45" i="1"/>
  <c r="U47" i="1"/>
  <c r="U48" i="1"/>
  <c r="U50" i="1"/>
  <c r="U52" i="1"/>
  <c r="U53" i="1"/>
  <c r="U58" i="1"/>
  <c r="U63" i="1"/>
  <c r="U119" i="1"/>
  <c r="U124" i="1"/>
  <c r="U133" i="1"/>
  <c r="U139" i="1"/>
  <c r="U199" i="1"/>
  <c r="U207" i="1"/>
  <c r="U208" i="1"/>
  <c r="U216" i="1" l="1"/>
  <c r="P108" i="1"/>
  <c r="V221" i="1"/>
  <c r="N30" i="1" l="1"/>
  <c r="AM49" i="1"/>
  <c r="N79" i="1"/>
  <c r="U43" i="1"/>
  <c r="N97" i="1"/>
  <c r="V122" i="1"/>
  <c r="AL90" i="1"/>
  <c r="AM30" i="1"/>
  <c r="AL30" i="1"/>
  <c r="AL197" i="1"/>
  <c r="AM240" i="1"/>
  <c r="AM231" i="1"/>
  <c r="AM229" i="1"/>
  <c r="AM228" i="1"/>
  <c r="AM219" i="1"/>
  <c r="AM218" i="1"/>
  <c r="AM217" i="1"/>
  <c r="AM196" i="1"/>
  <c r="AL196" i="1"/>
  <c r="AM195" i="1"/>
  <c r="AM194" i="1"/>
  <c r="AL192" i="1"/>
  <c r="AL186" i="1"/>
  <c r="AL182" i="1"/>
  <c r="AM175" i="1"/>
  <c r="AM169" i="1"/>
  <c r="AM166" i="1"/>
  <c r="AL166" i="1"/>
  <c r="AM147" i="1"/>
  <c r="AM138" i="1"/>
  <c r="AM135" i="1"/>
  <c r="AL135" i="1"/>
  <c r="AM134" i="1"/>
  <c r="AM131" i="1"/>
  <c r="AM128" i="1"/>
  <c r="AL126" i="1"/>
  <c r="AL125" i="1"/>
  <c r="AL118" i="1"/>
  <c r="AM99" i="1"/>
  <c r="AL111" i="1"/>
  <c r="AL110" i="1"/>
  <c r="AM103" i="1"/>
  <c r="AL102" i="1"/>
  <c r="AM101" i="1"/>
  <c r="AM96" i="1"/>
  <c r="AL96" i="1"/>
  <c r="AL93" i="1"/>
  <c r="AL92" i="1"/>
  <c r="AL89" i="1"/>
  <c r="AL88" i="1"/>
  <c r="AM86" i="1"/>
  <c r="AL85" i="1"/>
  <c r="AM83" i="1"/>
  <c r="AL83" i="1"/>
  <c r="AM61" i="1"/>
  <c r="AM56" i="1"/>
  <c r="AM55" i="1"/>
  <c r="AM52" i="1"/>
  <c r="AM50" i="1"/>
  <c r="AL43" i="1"/>
  <c r="AL42" i="1"/>
  <c r="AM22" i="1"/>
  <c r="AM15" i="1"/>
  <c r="AM14" i="1"/>
  <c r="AL14" i="1"/>
  <c r="Q90" i="1"/>
  <c r="P90" i="1"/>
  <c r="Q30" i="1"/>
  <c r="P30" i="1"/>
  <c r="P197" i="1"/>
  <c r="P151" i="1"/>
  <c r="Q145" i="1"/>
  <c r="P145" i="1"/>
  <c r="P142" i="1"/>
  <c r="P109" i="1"/>
  <c r="P12" i="1"/>
  <c r="Q238" i="1"/>
  <c r="Q236" i="1"/>
  <c r="P236" i="1"/>
  <c r="Q233" i="1"/>
  <c r="P232" i="1"/>
  <c r="R231" i="1"/>
  <c r="Q231" i="1"/>
  <c r="P230" i="1"/>
  <c r="Q229" i="1"/>
  <c r="P228" i="1"/>
  <c r="P227" i="1"/>
  <c r="P225" i="1"/>
  <c r="P224" i="1"/>
  <c r="P223" i="1"/>
  <c r="P222" i="1"/>
  <c r="Q221" i="1"/>
  <c r="R217" i="1"/>
  <c r="Q217" i="1"/>
  <c r="Q215" i="1"/>
  <c r="P212" i="1"/>
  <c r="P211" i="1"/>
  <c r="P209" i="1"/>
  <c r="P207" i="1"/>
  <c r="P205" i="1"/>
  <c r="P204" i="1"/>
  <c r="P200" i="1"/>
  <c r="P198" i="1"/>
  <c r="Q196" i="1"/>
  <c r="Q193" i="1"/>
  <c r="P191" i="1"/>
  <c r="P190" i="1"/>
  <c r="Q186" i="1"/>
  <c r="Q185" i="1"/>
  <c r="P185" i="1"/>
  <c r="Q184" i="1"/>
  <c r="Q183" i="1"/>
  <c r="Q182" i="1"/>
  <c r="P180" i="1"/>
  <c r="Q178" i="1"/>
  <c r="P177" i="1"/>
  <c r="P176" i="1"/>
  <c r="Q174" i="1"/>
  <c r="P174" i="1"/>
  <c r="R171" i="1"/>
  <c r="Q171" i="1"/>
  <c r="P169" i="1"/>
  <c r="P166" i="1"/>
  <c r="P165" i="1"/>
  <c r="P163" i="1"/>
  <c r="P161" i="1"/>
  <c r="Q160" i="1"/>
  <c r="P160" i="1"/>
  <c r="Q159" i="1"/>
  <c r="P159" i="1"/>
  <c r="Q157" i="1"/>
  <c r="P157" i="1"/>
  <c r="Q156" i="1"/>
  <c r="P156" i="1"/>
  <c r="Q155" i="1"/>
  <c r="P155" i="1"/>
  <c r="Q154" i="1"/>
  <c r="P154" i="1"/>
  <c r="Q153" i="1"/>
  <c r="P153" i="1"/>
  <c r="P152" i="1"/>
  <c r="Q150" i="1"/>
  <c r="P147" i="1"/>
  <c r="Q146" i="1"/>
  <c r="P146" i="1"/>
  <c r="R141" i="1"/>
  <c r="Q140" i="1"/>
  <c r="P139" i="1"/>
  <c r="Q138" i="1"/>
  <c r="P138" i="1"/>
  <c r="Q137" i="1"/>
  <c r="P135" i="1"/>
  <c r="R133" i="1"/>
  <c r="Q133" i="1"/>
  <c r="P133" i="1"/>
  <c r="P132" i="1"/>
  <c r="R131" i="1"/>
  <c r="Q131" i="1"/>
  <c r="P130" i="1"/>
  <c r="P128" i="1"/>
  <c r="P127" i="1"/>
  <c r="Q126" i="1"/>
  <c r="R125" i="1"/>
  <c r="Q125" i="1"/>
  <c r="P124" i="1"/>
  <c r="R123" i="1"/>
  <c r="Q123" i="1"/>
  <c r="Q122" i="1"/>
  <c r="P122" i="1"/>
  <c r="Q120" i="1"/>
  <c r="P120" i="1"/>
  <c r="R118" i="1"/>
  <c r="Q118" i="1"/>
  <c r="Q117" i="1"/>
  <c r="P117" i="1"/>
  <c r="P116" i="1"/>
  <c r="Q99" i="1"/>
  <c r="Q115" i="1"/>
  <c r="P115" i="1"/>
  <c r="Q113" i="1"/>
  <c r="Q112" i="1"/>
  <c r="R110" i="1"/>
  <c r="Q110" i="1"/>
  <c r="Q107" i="1"/>
  <c r="P107" i="1"/>
  <c r="P106" i="1"/>
  <c r="P105" i="1"/>
  <c r="R103" i="1"/>
  <c r="Q103" i="1"/>
  <c r="Q100" i="1"/>
  <c r="Q98" i="1"/>
  <c r="Q97" i="1"/>
  <c r="P96" i="1"/>
  <c r="P95" i="1"/>
  <c r="P94" i="1"/>
  <c r="Q92" i="1"/>
  <c r="P92" i="1"/>
  <c r="P89" i="1"/>
  <c r="R88" i="1"/>
  <c r="Q88" i="1"/>
  <c r="P88" i="1"/>
  <c r="Q87" i="1"/>
  <c r="P86" i="1"/>
  <c r="Q85" i="1"/>
  <c r="P85" i="1"/>
  <c r="Q84" i="1"/>
  <c r="P84" i="1"/>
  <c r="Q83" i="1"/>
  <c r="P83" i="1"/>
  <c r="Q81" i="1"/>
  <c r="Q80" i="1"/>
  <c r="Q79" i="1"/>
  <c r="Q78" i="1"/>
  <c r="Q77" i="1"/>
  <c r="Q76" i="1"/>
  <c r="R75" i="1"/>
  <c r="Q75" i="1"/>
  <c r="R72" i="1"/>
  <c r="Q72" i="1"/>
  <c r="P67" i="1"/>
  <c r="Q66" i="1"/>
  <c r="R65" i="1"/>
  <c r="Q62" i="1"/>
  <c r="Q59" i="1"/>
  <c r="Q50" i="1"/>
  <c r="P50" i="1"/>
  <c r="P49" i="1"/>
  <c r="Q46" i="1"/>
  <c r="P46" i="1"/>
  <c r="R45" i="1"/>
  <c r="P44" i="1"/>
  <c r="Q42" i="1"/>
  <c r="Q40" i="1"/>
  <c r="R34" i="1"/>
  <c r="Q32" i="1"/>
  <c r="R18" i="1"/>
  <c r="Q13" i="1"/>
  <c r="Q10" i="1"/>
  <c r="Q7" i="1"/>
  <c r="P7" i="1"/>
  <c r="Q6" i="1"/>
  <c r="Q5" i="1"/>
  <c r="Q4" i="1"/>
  <c r="R2" i="1"/>
  <c r="Q2" i="1"/>
  <c r="AF90" i="1"/>
  <c r="AE90" i="1"/>
  <c r="AE30" i="1"/>
  <c r="AF239" i="1"/>
  <c r="AF238" i="1"/>
  <c r="AF236" i="1"/>
  <c r="AF234" i="1"/>
  <c r="AF228" i="1"/>
  <c r="AF223" i="1"/>
  <c r="AF221" i="1"/>
  <c r="AF220" i="1"/>
  <c r="AF218" i="1"/>
  <c r="AE218" i="1"/>
  <c r="AF217" i="1"/>
  <c r="AF215" i="1"/>
  <c r="AF205" i="1"/>
  <c r="AE205" i="1"/>
  <c r="AF204" i="1"/>
  <c r="AE204" i="1"/>
  <c r="AF201" i="1"/>
  <c r="AF196" i="1"/>
  <c r="AF195" i="1"/>
  <c r="AF194" i="1"/>
  <c r="AF193" i="1"/>
  <c r="AF192" i="1"/>
  <c r="AE192" i="1"/>
  <c r="AF189" i="1"/>
  <c r="AF186" i="1"/>
  <c r="AE186" i="1"/>
  <c r="AF185" i="1"/>
  <c r="AE185" i="1"/>
  <c r="AF184" i="1"/>
  <c r="AE184" i="1"/>
  <c r="AF183" i="1"/>
  <c r="AE183" i="1"/>
  <c r="AF182" i="1"/>
  <c r="AE182" i="1"/>
  <c r="AF181" i="1"/>
  <c r="AF180" i="1"/>
  <c r="AF179" i="1"/>
  <c r="AF178" i="1"/>
  <c r="AF177" i="1"/>
  <c r="AF176" i="1"/>
  <c r="AE176" i="1"/>
  <c r="AF175" i="1"/>
  <c r="AE175" i="1"/>
  <c r="AF174" i="1"/>
  <c r="AE174" i="1"/>
  <c r="AF173" i="1"/>
  <c r="AF172" i="1"/>
  <c r="AE172" i="1"/>
  <c r="AF171" i="1"/>
  <c r="AE171" i="1"/>
  <c r="AF170" i="1"/>
  <c r="AE170" i="1"/>
  <c r="AF169" i="1"/>
  <c r="AF168" i="1"/>
  <c r="AE168" i="1"/>
  <c r="AF167" i="1"/>
  <c r="AE166" i="1"/>
  <c r="AF162" i="1"/>
  <c r="AF161" i="1"/>
  <c r="AF160" i="1"/>
  <c r="AF159" i="1"/>
  <c r="AF158" i="1"/>
  <c r="AE158" i="1"/>
  <c r="AE152" i="1"/>
  <c r="AF150" i="1"/>
  <c r="AE150" i="1"/>
  <c r="AF149" i="1"/>
  <c r="AF148" i="1"/>
  <c r="AF147" i="1"/>
  <c r="AF143" i="1"/>
  <c r="AF141" i="1"/>
  <c r="AE141" i="1"/>
  <c r="AF140" i="1"/>
  <c r="AE138" i="1"/>
  <c r="AF137" i="1"/>
  <c r="AE137" i="1"/>
  <c r="AE135" i="1"/>
  <c r="AF133" i="1"/>
  <c r="AE133" i="1"/>
  <c r="AE126" i="1"/>
  <c r="AE125" i="1"/>
  <c r="AE118" i="1"/>
  <c r="AF116" i="1"/>
  <c r="AF99" i="1"/>
  <c r="AE99" i="1"/>
  <c r="AF115" i="1"/>
  <c r="AF114" i="1"/>
  <c r="AF113" i="1"/>
  <c r="AF112" i="1"/>
  <c r="AE112" i="1"/>
  <c r="AF111" i="1"/>
  <c r="AE111" i="1"/>
  <c r="AF110" i="1"/>
  <c r="AE110" i="1"/>
  <c r="AF108" i="1"/>
  <c r="AF107" i="1"/>
  <c r="AE107" i="1"/>
  <c r="AF106" i="1"/>
  <c r="AE106" i="1"/>
  <c r="AF102" i="1"/>
  <c r="AE102" i="1"/>
  <c r="AF101" i="1"/>
  <c r="AE101" i="1"/>
  <c r="AF100" i="1"/>
  <c r="AE100" i="1"/>
  <c r="AF97" i="1"/>
  <c r="AE96" i="1"/>
  <c r="AF92" i="1"/>
  <c r="AE92" i="1"/>
  <c r="AE89" i="1"/>
  <c r="AE88" i="1"/>
  <c r="AF87" i="1"/>
  <c r="AE87" i="1"/>
  <c r="AE85" i="1"/>
  <c r="AF84" i="1"/>
  <c r="AE84" i="1"/>
  <c r="AF83" i="1"/>
  <c r="AE83" i="1"/>
  <c r="AF82" i="1"/>
  <c r="AF81" i="1"/>
  <c r="AF80" i="1"/>
  <c r="AE80" i="1"/>
  <c r="AF79" i="1"/>
  <c r="AF78" i="1"/>
  <c r="AF77" i="1"/>
  <c r="AE77" i="1"/>
  <c r="AF75" i="1"/>
  <c r="AE75" i="1"/>
  <c r="AF74" i="1"/>
  <c r="AF73" i="1"/>
  <c r="AF72" i="1"/>
  <c r="AF71" i="1"/>
  <c r="AF70" i="1"/>
  <c r="AF68" i="1"/>
  <c r="AE68" i="1"/>
  <c r="AF67" i="1"/>
  <c r="AE67" i="1"/>
  <c r="AF66" i="1"/>
  <c r="AE66" i="1"/>
  <c r="AE65" i="1"/>
  <c r="AF63" i="1"/>
  <c r="AE63" i="1"/>
  <c r="AF60" i="1"/>
  <c r="AE60" i="1"/>
  <c r="AF59" i="1"/>
  <c r="AE59" i="1"/>
  <c r="AF56" i="1"/>
  <c r="AE56" i="1"/>
  <c r="AF52" i="1"/>
  <c r="AF49" i="1"/>
  <c r="AF45" i="1"/>
  <c r="AE45" i="1"/>
  <c r="AF43" i="1"/>
  <c r="AF42" i="1"/>
  <c r="AF41" i="1"/>
  <c r="AE40" i="1"/>
  <c r="AF39" i="1"/>
  <c r="AF37" i="1"/>
  <c r="AE37" i="1"/>
  <c r="AF36" i="1"/>
  <c r="AE36" i="1"/>
  <c r="AF35" i="1"/>
  <c r="AE35" i="1"/>
  <c r="AF33" i="1"/>
  <c r="AF31" i="1"/>
  <c r="AF27" i="1"/>
  <c r="AF25" i="1"/>
  <c r="AF23" i="1"/>
  <c r="AF22" i="1"/>
  <c r="AF21" i="1"/>
  <c r="AF20" i="1"/>
  <c r="AE20" i="1"/>
  <c r="AF19" i="1"/>
  <c r="AF18" i="1"/>
  <c r="AF11" i="1"/>
  <c r="AF10" i="1"/>
  <c r="AE10" i="1"/>
  <c r="AF8" i="1"/>
  <c r="AF7" i="1"/>
  <c r="AE7" i="1"/>
  <c r="AF6" i="1"/>
  <c r="AE6" i="1"/>
  <c r="AE5" i="1"/>
  <c r="AF4" i="1"/>
  <c r="AE4" i="1"/>
  <c r="AF2" i="1"/>
  <c r="AE2" i="1"/>
  <c r="U90" i="1"/>
  <c r="V239" i="1"/>
  <c r="U239" i="1"/>
  <c r="V238" i="1"/>
  <c r="V237" i="1"/>
  <c r="V235" i="1"/>
  <c r="U235" i="1"/>
  <c r="V234" i="1"/>
  <c r="V233" i="1"/>
  <c r="V232" i="1"/>
  <c r="U232" i="1"/>
  <c r="V231" i="1"/>
  <c r="V229" i="1"/>
  <c r="V228" i="1"/>
  <c r="V226" i="1"/>
  <c r="V225" i="1"/>
  <c r="V224" i="1"/>
  <c r="V223" i="1"/>
  <c r="U219" i="1"/>
  <c r="V215" i="1"/>
  <c r="U214" i="1"/>
  <c r="V204" i="1"/>
  <c r="U204" i="1"/>
  <c r="V203" i="1"/>
  <c r="V201" i="1"/>
  <c r="V199" i="1"/>
  <c r="V196" i="1"/>
  <c r="V195" i="1"/>
  <c r="V194" i="1"/>
  <c r="V143" i="1"/>
  <c r="V141" i="1"/>
  <c r="U141" i="1"/>
  <c r="V138" i="1"/>
  <c r="U138" i="1"/>
  <c r="V136" i="1"/>
  <c r="V135" i="1"/>
  <c r="U135" i="1"/>
  <c r="V134" i="1"/>
  <c r="V133" i="1"/>
  <c r="V131" i="1"/>
  <c r="V130" i="1"/>
  <c r="V129" i="1"/>
  <c r="V128" i="1"/>
  <c r="U127" i="1"/>
  <c r="U126" i="1"/>
  <c r="V125" i="1"/>
  <c r="U125" i="1"/>
  <c r="V124" i="1"/>
  <c r="V121" i="1"/>
  <c r="U120" i="1"/>
  <c r="V118" i="1"/>
  <c r="U118" i="1"/>
  <c r="U106" i="1"/>
  <c r="V96" i="1"/>
  <c r="U96" i="1"/>
  <c r="U92" i="1"/>
  <c r="V91" i="1"/>
  <c r="V89" i="1"/>
  <c r="U89" i="1"/>
  <c r="U88" i="1"/>
  <c r="U87" i="1"/>
  <c r="V86" i="1"/>
  <c r="V85" i="1"/>
  <c r="U85" i="1"/>
  <c r="V62" i="1"/>
  <c r="V59" i="1"/>
  <c r="V58" i="1"/>
  <c r="V52" i="1"/>
  <c r="V49" i="1"/>
  <c r="V48" i="1"/>
  <c r="V45" i="1"/>
  <c r="U42" i="1"/>
  <c r="V39" i="1"/>
  <c r="N90" i="1" l="1"/>
  <c r="E90" i="1"/>
  <c r="E30" i="1"/>
  <c r="N197" i="1"/>
  <c r="E197" i="1"/>
  <c r="N151" i="1"/>
  <c r="E151" i="1"/>
  <c r="N145" i="1"/>
  <c r="E145" i="1"/>
  <c r="N144" i="1"/>
  <c r="E144" i="1"/>
  <c r="E142" i="1"/>
  <c r="N109" i="1"/>
  <c r="E109" i="1"/>
  <c r="N12" i="1"/>
  <c r="E12" i="1"/>
  <c r="N240" i="1" l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3" i="1"/>
  <c r="N212" i="1"/>
  <c r="N210" i="1"/>
  <c r="N209" i="1"/>
  <c r="N208" i="1"/>
  <c r="N207" i="1"/>
  <c r="N205" i="1"/>
  <c r="N204" i="1"/>
  <c r="N203" i="1"/>
  <c r="N202" i="1"/>
  <c r="N201" i="1"/>
  <c r="N200" i="1"/>
  <c r="N199" i="1"/>
  <c r="N198" i="1"/>
  <c r="N196" i="1"/>
  <c r="N195" i="1"/>
  <c r="N194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0" i="1"/>
  <c r="N149" i="1"/>
  <c r="N148" i="1"/>
  <c r="N147" i="1"/>
  <c r="N143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6" i="1"/>
  <c r="N99" i="1"/>
  <c r="N115" i="1"/>
  <c r="N114" i="1"/>
  <c r="N113" i="1"/>
  <c r="N112" i="1"/>
  <c r="N111" i="1"/>
  <c r="N110" i="1"/>
  <c r="N107" i="1"/>
  <c r="N106" i="1"/>
  <c r="N105" i="1"/>
  <c r="N104" i="1"/>
  <c r="N101" i="1"/>
  <c r="N100" i="1"/>
  <c r="N98" i="1"/>
  <c r="N96" i="1"/>
  <c r="N95" i="1"/>
  <c r="N92" i="1"/>
  <c r="N91" i="1"/>
  <c r="N89" i="1"/>
  <c r="N88" i="1"/>
  <c r="N87" i="1"/>
  <c r="N86" i="1"/>
  <c r="N85" i="1"/>
  <c r="N83" i="1"/>
  <c r="N82" i="1"/>
  <c r="N81" i="1"/>
  <c r="N80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7" i="1"/>
  <c r="N55" i="1"/>
  <c r="N54" i="1"/>
  <c r="N53" i="1"/>
  <c r="N52" i="1"/>
  <c r="N51" i="1"/>
  <c r="N50" i="1"/>
  <c r="N48" i="1"/>
  <c r="N47" i="1"/>
  <c r="N46" i="1"/>
  <c r="N44" i="1"/>
  <c r="N42" i="1"/>
  <c r="N41" i="1"/>
  <c r="N40" i="1"/>
  <c r="N39" i="1"/>
  <c r="N38" i="1"/>
  <c r="N37" i="1"/>
  <c r="N36" i="1"/>
  <c r="N35" i="1"/>
  <c r="N34" i="1"/>
  <c r="N33" i="1"/>
  <c r="N32" i="1"/>
  <c r="N31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1" i="1"/>
  <c r="N10" i="1"/>
  <c r="N9" i="1"/>
  <c r="N8" i="1"/>
  <c r="N7" i="1"/>
  <c r="N6" i="1"/>
  <c r="N4" i="1"/>
  <c r="N3" i="1"/>
  <c r="N2" i="1"/>
  <c r="E240" i="1" l="1"/>
  <c r="E73" i="1" l="1"/>
  <c r="E135" i="1"/>
  <c r="E118" i="1"/>
  <c r="E126" i="1"/>
  <c r="E125" i="1"/>
  <c r="E96" i="1"/>
  <c r="E85" i="1"/>
  <c r="E89" i="1"/>
  <c r="E92" i="1"/>
  <c r="E84" i="1"/>
  <c r="E239" i="1"/>
  <c r="E238" i="1"/>
  <c r="E237" i="1"/>
  <c r="E236" i="1"/>
  <c r="E235" i="1"/>
  <c r="E234" i="1"/>
  <c r="E233" i="1"/>
  <c r="E230" i="1"/>
  <c r="E232" i="1"/>
  <c r="E231" i="1"/>
  <c r="E229" i="1"/>
  <c r="E228" i="1"/>
  <c r="E227" i="1"/>
  <c r="E226" i="1"/>
  <c r="E225" i="1"/>
  <c r="E224" i="1"/>
  <c r="E223" i="1"/>
  <c r="E222" i="1"/>
  <c r="E221" i="1"/>
  <c r="E220" i="1"/>
  <c r="E219" i="1"/>
  <c r="E205" i="1"/>
  <c r="E204" i="1"/>
  <c r="E203" i="1"/>
  <c r="E202" i="1"/>
  <c r="E201" i="1"/>
  <c r="E200" i="1"/>
  <c r="E199" i="1"/>
  <c r="E198" i="1"/>
  <c r="E195" i="1"/>
  <c r="E194" i="1"/>
  <c r="E196" i="1"/>
  <c r="E193" i="1"/>
  <c r="E192" i="1"/>
  <c r="E191" i="1"/>
  <c r="E190" i="1"/>
  <c r="E189" i="1"/>
  <c r="E188" i="1"/>
  <c r="E187" i="1"/>
  <c r="E184" i="1"/>
  <c r="E182" i="1"/>
  <c r="E183" i="1"/>
  <c r="E185" i="1"/>
  <c r="E186" i="1"/>
  <c r="E181" i="1"/>
  <c r="E180" i="1"/>
  <c r="E179" i="1"/>
  <c r="E178" i="1"/>
  <c r="E177" i="1"/>
  <c r="E176" i="1"/>
  <c r="E214" i="1"/>
  <c r="E211" i="1"/>
  <c r="E213" i="1"/>
  <c r="E212" i="1"/>
  <c r="E210" i="1"/>
  <c r="E218" i="1"/>
  <c r="E217" i="1"/>
  <c r="E209" i="1"/>
  <c r="E207" i="1"/>
  <c r="E208" i="1"/>
  <c r="E206" i="1"/>
  <c r="E216" i="1"/>
  <c r="E215" i="1"/>
  <c r="E175" i="1"/>
  <c r="E174" i="1"/>
  <c r="E173" i="1"/>
  <c r="E172" i="1"/>
  <c r="E171" i="1"/>
  <c r="E170" i="1"/>
  <c r="E169" i="1"/>
  <c r="E168" i="1"/>
  <c r="E167" i="1"/>
  <c r="E162" i="1"/>
  <c r="E161" i="1"/>
  <c r="E159" i="1"/>
  <c r="E166" i="1"/>
  <c r="E165" i="1"/>
  <c r="E164" i="1"/>
  <c r="E163" i="1"/>
  <c r="E160" i="1"/>
  <c r="E158" i="1"/>
  <c r="E157" i="1"/>
  <c r="E156" i="1"/>
  <c r="E155" i="1"/>
  <c r="E154" i="1"/>
  <c r="E153" i="1"/>
  <c r="E152" i="1"/>
  <c r="E150" i="1"/>
  <c r="E149" i="1"/>
  <c r="E148" i="1"/>
  <c r="E147" i="1"/>
  <c r="E146" i="1"/>
  <c r="E137" i="1"/>
  <c r="E138" i="1"/>
  <c r="E140" i="1"/>
  <c r="E141" i="1"/>
  <c r="E143" i="1"/>
  <c r="E139" i="1"/>
  <c r="E136" i="1"/>
  <c r="E134" i="1"/>
  <c r="E133" i="1"/>
  <c r="E132" i="1"/>
  <c r="E131" i="1"/>
  <c r="E130" i="1"/>
  <c r="E129" i="1"/>
  <c r="E128" i="1"/>
  <c r="E127" i="1"/>
  <c r="E124" i="1"/>
  <c r="E123" i="1"/>
  <c r="E122" i="1"/>
  <c r="E120" i="1"/>
  <c r="E121" i="1"/>
  <c r="E119" i="1"/>
  <c r="E117" i="1"/>
  <c r="E116" i="1"/>
  <c r="E113" i="1"/>
  <c r="E112" i="1"/>
  <c r="E111" i="1"/>
  <c r="E107" i="1"/>
  <c r="E106" i="1"/>
  <c r="E104" i="1"/>
  <c r="E105" i="1"/>
  <c r="E110" i="1"/>
  <c r="E115" i="1"/>
  <c r="E114" i="1"/>
  <c r="E102" i="1"/>
  <c r="E101" i="1"/>
  <c r="E100" i="1"/>
  <c r="E99" i="1"/>
  <c r="E103" i="1"/>
  <c r="E98" i="1"/>
  <c r="E97" i="1"/>
  <c r="E95" i="1"/>
  <c r="E94" i="1"/>
  <c r="E93" i="1"/>
  <c r="E91" i="1"/>
  <c r="E88" i="1"/>
  <c r="E86" i="1"/>
  <c r="E87" i="1"/>
  <c r="E83" i="1"/>
  <c r="E82" i="1"/>
  <c r="E80" i="1"/>
  <c r="E81" i="1"/>
  <c r="E79" i="1"/>
  <c r="E78" i="1"/>
  <c r="E77" i="1"/>
  <c r="E76" i="1"/>
  <c r="E75" i="1"/>
  <c r="E72" i="1"/>
  <c r="E71" i="1"/>
  <c r="E70" i="1"/>
  <c r="E74" i="1"/>
  <c r="E69" i="1"/>
  <c r="E68" i="1"/>
  <c r="E67" i="1"/>
  <c r="E37" i="1"/>
  <c r="E65" i="1"/>
  <c r="E66" i="1"/>
  <c r="E64" i="1"/>
  <c r="E46" i="1"/>
  <c r="E56" i="1"/>
  <c r="E63" i="1"/>
  <c r="E62" i="1"/>
  <c r="E61" i="1"/>
  <c r="E45" i="1"/>
  <c r="E60" i="1"/>
  <c r="E53" i="1"/>
  <c r="E41" i="1"/>
  <c r="E59" i="1"/>
  <c r="E58" i="1"/>
  <c r="E57" i="1"/>
  <c r="E55" i="1"/>
  <c r="E54" i="1"/>
  <c r="E52" i="1"/>
  <c r="E51" i="1"/>
  <c r="E50" i="1"/>
  <c r="E49" i="1"/>
  <c r="E48" i="1"/>
  <c r="E47" i="1"/>
  <c r="E44" i="1"/>
  <c r="E43" i="1"/>
  <c r="E42" i="1"/>
  <c r="E40" i="1"/>
  <c r="E39" i="1"/>
  <c r="E38" i="1"/>
  <c r="E36" i="1"/>
  <c r="E35" i="1"/>
  <c r="E34" i="1"/>
  <c r="E33" i="1"/>
  <c r="E32" i="1"/>
  <c r="E31" i="1"/>
  <c r="E29" i="1"/>
  <c r="E28" i="1"/>
  <c r="E26" i="1"/>
  <c r="E27" i="1"/>
  <c r="E23" i="1"/>
  <c r="E24" i="1"/>
  <c r="E25" i="1"/>
  <c r="E22" i="1"/>
  <c r="E21" i="1"/>
  <c r="E20" i="1"/>
  <c r="E19" i="1"/>
  <c r="E18" i="1"/>
  <c r="E17" i="1"/>
  <c r="E15" i="1"/>
  <c r="E14" i="1"/>
  <c r="E16" i="1"/>
  <c r="E13" i="1"/>
  <c r="E11" i="1"/>
  <c r="E10" i="1"/>
  <c r="E5" i="1"/>
  <c r="E9" i="1"/>
  <c r="E8" i="1"/>
  <c r="E6" i="1"/>
  <c r="E4" i="1"/>
  <c r="E3" i="1"/>
  <c r="E2" i="1"/>
  <c r="E7" i="1"/>
  <c r="E108" i="1" l="1"/>
</calcChain>
</file>

<file path=xl/sharedStrings.xml><?xml version="1.0" encoding="utf-8"?>
<sst xmlns="http://schemas.openxmlformats.org/spreadsheetml/2006/main" count="2317" uniqueCount="997">
  <si>
    <t>Vector</t>
  </si>
  <si>
    <t>Vector order</t>
  </si>
  <si>
    <t>Inhalation</t>
  </si>
  <si>
    <t>Ingestion</t>
  </si>
  <si>
    <t>Fomites</t>
  </si>
  <si>
    <t>Maternal</t>
  </si>
  <si>
    <t>Transmission level</t>
  </si>
  <si>
    <t>Human only</t>
  </si>
  <si>
    <t>Non-human primate</t>
  </si>
  <si>
    <t>Other mammals</t>
  </si>
  <si>
    <t>Birds</t>
  </si>
  <si>
    <t>Latitude</t>
  </si>
  <si>
    <t>Longitude</t>
  </si>
  <si>
    <t>Sabiá Virus</t>
  </si>
  <si>
    <t>Mammarenavirus brazilense</t>
  </si>
  <si>
    <t>Mammarenavirus</t>
  </si>
  <si>
    <t>Arenaviridae</t>
  </si>
  <si>
    <t>1*</t>
  </si>
  <si>
    <t>7905555</t>
  </si>
  <si>
    <t>Brazil</t>
  </si>
  <si>
    <t>Pichindé virus</t>
  </si>
  <si>
    <t>Mammarenavirus caliense</t>
  </si>
  <si>
    <t>23552411</t>
  </si>
  <si>
    <t>Colombia</t>
  </si>
  <si>
    <t>Chapare virus</t>
  </si>
  <si>
    <t>Mammarenavirus chapareense</t>
  </si>
  <si>
    <t>18421377</t>
  </si>
  <si>
    <t>Lymphocytic choriomeningitis virus</t>
  </si>
  <si>
    <t>Mammarenavirus choriomeningitidis</t>
  </si>
  <si>
    <t>United States of America</t>
  </si>
  <si>
    <t>Guanarito virus</t>
  </si>
  <si>
    <t>Mammarenavirus guanaritoense</t>
  </si>
  <si>
    <t>10463688</t>
  </si>
  <si>
    <t>Venezuela</t>
  </si>
  <si>
    <t>Junín virus</t>
  </si>
  <si>
    <t>Mammarenavirus juninense</t>
  </si>
  <si>
    <t>23202466</t>
  </si>
  <si>
    <t>Argentina</t>
  </si>
  <si>
    <t>Lassa virus</t>
  </si>
  <si>
    <t>Mammarenavirus lassaense</t>
  </si>
  <si>
    <t>26276630</t>
  </si>
  <si>
    <t>17326956</t>
  </si>
  <si>
    <t>15487592</t>
  </si>
  <si>
    <t>Nigeria</t>
  </si>
  <si>
    <t>Lujo virus</t>
  </si>
  <si>
    <t>Mammarenavirus lujoense</t>
  </si>
  <si>
    <t>22953019</t>
  </si>
  <si>
    <t>Zambia</t>
  </si>
  <si>
    <t>Machupo virus</t>
  </si>
  <si>
    <t>Mammarenavirus machupoense</t>
  </si>
  <si>
    <t>182399</t>
  </si>
  <si>
    <t>Mammarenavirus praomyidis</t>
  </si>
  <si>
    <t>Central African Republic</t>
  </si>
  <si>
    <t>Whitewater Arroyo virus</t>
  </si>
  <si>
    <t>Mammarenavirus whitewaterense</t>
  </si>
  <si>
    <t>11508391</t>
  </si>
  <si>
    <t>Mamastrovirus hominis</t>
  </si>
  <si>
    <t>Mamastrovirus</t>
  </si>
  <si>
    <t>Astroviridae</t>
  </si>
  <si>
    <t>16546454</t>
  </si>
  <si>
    <t>4b</t>
  </si>
  <si>
    <t>United Kingdom</t>
  </si>
  <si>
    <t>Mamastrovirus homustovis</t>
  </si>
  <si>
    <t>25975198</t>
  </si>
  <si>
    <t>Mamastrovirus melbournense</t>
  </si>
  <si>
    <t>26212039</t>
  </si>
  <si>
    <t>Australia</t>
  </si>
  <si>
    <t>Mamastrovirus virginiaense</t>
  </si>
  <si>
    <t>19706703</t>
  </si>
  <si>
    <t>Borna disease virus 1/2</t>
  </si>
  <si>
    <t>Orthobornavirus bornaense</t>
  </si>
  <si>
    <t>Orthobornavirus</t>
  </si>
  <si>
    <t>Bornaviridae</t>
  </si>
  <si>
    <t>23223618</t>
  </si>
  <si>
    <t>Germany</t>
  </si>
  <si>
    <t>Orthobornavirus sciuri</t>
  </si>
  <si>
    <t>26154788</t>
  </si>
  <si>
    <t>Norwalk virus</t>
  </si>
  <si>
    <t>Norovirus norwalkense</t>
  </si>
  <si>
    <t>Norovirus</t>
  </si>
  <si>
    <t>Caliciviridae</t>
  </si>
  <si>
    <t>4a</t>
  </si>
  <si>
    <t>22389721</t>
  </si>
  <si>
    <t>Sapporo virus</t>
  </si>
  <si>
    <t xml:space="preserve">Sapovirus sapporoense </t>
  </si>
  <si>
    <t>Sapovirus</t>
  </si>
  <si>
    <t>21645054</t>
  </si>
  <si>
    <t>Japan</t>
  </si>
  <si>
    <t>Vesivirus exanthema</t>
  </si>
  <si>
    <t>Vesivirus</t>
  </si>
  <si>
    <t>19913368</t>
  </si>
  <si>
    <t>Alphacoronavirus amsterdamense</t>
  </si>
  <si>
    <t>Alphacoronavirus</t>
  </si>
  <si>
    <t>Coronaviridae</t>
  </si>
  <si>
    <t>21366416</t>
  </si>
  <si>
    <t>Netherlands</t>
  </si>
  <si>
    <t>Alphacoronavirus chicagoense</t>
  </si>
  <si>
    <t>12551991</t>
  </si>
  <si>
    <t>Alphacoronavirus suis</t>
  </si>
  <si>
    <t>Middle East respiratory syndrome-related coronavirus</t>
  </si>
  <si>
    <t>Betacoronavirus cameli</t>
  </si>
  <si>
    <t>Betacoronavirus</t>
  </si>
  <si>
    <t>28653496</t>
  </si>
  <si>
    <t>Saudi Arabia</t>
  </si>
  <si>
    <t>Betacoronavirus gravedinis</t>
  </si>
  <si>
    <t>Human coronavirus HKU1</t>
  </si>
  <si>
    <t>Betacoronavirus hongkongense</t>
  </si>
  <si>
    <t>23161446</t>
  </si>
  <si>
    <t>China</t>
  </si>
  <si>
    <t>Betacoronavirus pandemicum</t>
  </si>
  <si>
    <t>12939793</t>
  </si>
  <si>
    <t>Bundibugyo virus</t>
  </si>
  <si>
    <t>Orthoebolavirus bundibugyoense</t>
  </si>
  <si>
    <t>Orthoebolavirus</t>
  </si>
  <si>
    <t>Filoviridae</t>
  </si>
  <si>
    <t>27489269</t>
  </si>
  <si>
    <t>Uganda</t>
  </si>
  <si>
    <t xml:space="preserve">Reston virus </t>
  </si>
  <si>
    <t>Orthoebolavirus restonense</t>
  </si>
  <si>
    <t>21801651</t>
  </si>
  <si>
    <t>10024977</t>
  </si>
  <si>
    <t>Philippines</t>
  </si>
  <si>
    <t xml:space="preserve">Sudan virus </t>
  </si>
  <si>
    <t>Orthoebolavirus sudanense</t>
  </si>
  <si>
    <t>23155478</t>
  </si>
  <si>
    <t xml:space="preserve">South Sudan </t>
  </si>
  <si>
    <t>Tai Forest virus</t>
  </si>
  <si>
    <t>Orthoebolavirus taiense</t>
  </si>
  <si>
    <t>Côte d'Ivoire</t>
  </si>
  <si>
    <t>Zaire virus</t>
  </si>
  <si>
    <t>Orthoebolavirus zairense</t>
  </si>
  <si>
    <t>Congo</t>
  </si>
  <si>
    <t>Marburg virus</t>
  </si>
  <si>
    <t>Orthomarburgvirus marburgense</t>
  </si>
  <si>
    <t>Orthomarburgvirus</t>
  </si>
  <si>
    <t>17712412</t>
  </si>
  <si>
    <t>Hepacivirus hominis</t>
  </si>
  <si>
    <t>Hepacivirus</t>
  </si>
  <si>
    <t>Flaviviridae</t>
  </si>
  <si>
    <t>Aroa virus</t>
  </si>
  <si>
    <t>Orthoflavivirus aroaense</t>
  </si>
  <si>
    <t>Orthoflavivirus</t>
  </si>
  <si>
    <t>Diptera</t>
  </si>
  <si>
    <t>Panama</t>
  </si>
  <si>
    <t>Bagaza virus</t>
  </si>
  <si>
    <t>Orthoflavivirus bagazaense</t>
  </si>
  <si>
    <t>India</t>
  </si>
  <si>
    <t xml:space="preserve">Banzi virus </t>
  </si>
  <si>
    <t>Orthoflavivirus banziense</t>
  </si>
  <si>
    <t xml:space="preserve">Rio Bravo virus </t>
  </si>
  <si>
    <t>Orthoflavivirus bravoense</t>
  </si>
  <si>
    <t>22457530</t>
  </si>
  <si>
    <t>Cacipacore virus</t>
  </si>
  <si>
    <t>Orthoflavivirus cacipacoreense</t>
  </si>
  <si>
    <t xml:space="preserve">Diptera </t>
  </si>
  <si>
    <t>28220327</t>
  </si>
  <si>
    <t>Orthoflavivirus denguei</t>
  </si>
  <si>
    <t>25052008</t>
  </si>
  <si>
    <t>Edge Hill virus</t>
  </si>
  <si>
    <t>Orthoflavivirus edgehillense</t>
  </si>
  <si>
    <t>19486319</t>
  </si>
  <si>
    <t>Australia</t>
    <phoneticPr fontId="24" type="noConversion"/>
  </si>
  <si>
    <t>Orthoflavivirus encephalitidis</t>
  </si>
  <si>
    <t>‎Ixodida</t>
  </si>
  <si>
    <t>Orthoflavivirus flavi</t>
  </si>
  <si>
    <t>11113383</t>
  </si>
  <si>
    <t>Cuba</t>
  </si>
  <si>
    <t>Gadgets Gully virus</t>
  </si>
  <si>
    <t>Orthoflavivirus gadgetsense</t>
  </si>
  <si>
    <t xml:space="preserve">Ilheus virus </t>
  </si>
  <si>
    <t>Orthoflavivirus ilheusense</t>
  </si>
  <si>
    <t xml:space="preserve">Japanese encephalitis virus </t>
  </si>
  <si>
    <t>Orthoflavivirus japonicum</t>
  </si>
  <si>
    <t xml:space="preserve">Kokobera virus </t>
  </si>
  <si>
    <t>Orthoflavivirus kokoberaorum</t>
  </si>
  <si>
    <t>10930658</t>
  </si>
  <si>
    <t xml:space="preserve">Kyasanur forest disease virus </t>
  </si>
  <si>
    <t>Orthoflavivirus kyasanurense</t>
  </si>
  <si>
    <t>19788811</t>
  </si>
  <si>
    <t>Langat virus</t>
  </si>
  <si>
    <t>Orthoflavivirus langatense</t>
  </si>
  <si>
    <t>Malaysia</t>
  </si>
  <si>
    <t>St. Louis encephalitis virus</t>
  </si>
  <si>
    <t>Orthoflavivirus louisense</t>
  </si>
  <si>
    <t xml:space="preserve">Louping ill virus </t>
  </si>
  <si>
    <t>Orthoflavivirus loupingi</t>
  </si>
  <si>
    <t>10726271</t>
  </si>
  <si>
    <t xml:space="preserve">Murray Valley encephalitis virus </t>
  </si>
  <si>
    <t>Orthoflavivirus murrayense</t>
  </si>
  <si>
    <t>6299259</t>
  </si>
  <si>
    <t xml:space="preserve">West Nile virus </t>
  </si>
  <si>
    <t>Orthoflavivirus nilense</t>
  </si>
  <si>
    <t>Ntaya virus</t>
  </si>
  <si>
    <t>Orthoflavivirus ntayaense</t>
  </si>
  <si>
    <t>28606155</t>
  </si>
  <si>
    <t xml:space="preserve">Omsk hemorrhagic fever virus </t>
  </si>
  <si>
    <t>Orthoflavivirus omskense</t>
  </si>
  <si>
    <t>20850178</t>
  </si>
  <si>
    <t xml:space="preserve">Powassan virus </t>
  </si>
  <si>
    <t>Orthoflavivirus powassanense</t>
  </si>
  <si>
    <t>Canada</t>
    <phoneticPr fontId="24" type="noConversion"/>
  </si>
  <si>
    <t>Tembusu virus</t>
  </si>
  <si>
    <t>Orthoflavivirus tembusu</t>
  </si>
  <si>
    <t>Uganda S virus</t>
  </si>
  <si>
    <t>Orthoflavivirus ugandaense</t>
  </si>
  <si>
    <t>Usutu virus</t>
  </si>
  <si>
    <t>Orthoflavivirus usutuense</t>
  </si>
  <si>
    <t>22389712</t>
  </si>
  <si>
    <t>Italy</t>
  </si>
  <si>
    <t xml:space="preserve">Wesselsbron virus </t>
  </si>
  <si>
    <t>Orthoflavivirus wesselsbronense</t>
  </si>
  <si>
    <t xml:space="preserve">Zika virus </t>
  </si>
  <si>
    <t>Orthoflavivirus zikaense</t>
  </si>
  <si>
    <t>21529401</t>
  </si>
  <si>
    <t>Pegivirus columbiaense</t>
  </si>
  <si>
    <t>Pegivirus</t>
  </si>
  <si>
    <t>Pegivirus hominis</t>
  </si>
  <si>
    <t>Pestivirus bovis</t>
  </si>
  <si>
    <t>Pestivirus</t>
  </si>
  <si>
    <t>Belgium</t>
  </si>
  <si>
    <t>Andes virus</t>
  </si>
  <si>
    <t>Orthohantavirus andesense</t>
  </si>
  <si>
    <t>Orthohantavirus</t>
  </si>
  <si>
    <t>Hantaviridae</t>
  </si>
  <si>
    <t>Orthohantavirus bayoui</t>
  </si>
  <si>
    <t>Choclo virus</t>
  </si>
  <si>
    <t>Orthohantavirus chocloense</t>
  </si>
  <si>
    <t>19556568</t>
  </si>
  <si>
    <t xml:space="preserve">Dobrava virus </t>
  </si>
  <si>
    <t>Orthohantavirus dobravaense</t>
  </si>
  <si>
    <t>22877560</t>
  </si>
  <si>
    <t xml:space="preserve">Hantaan virus </t>
  </si>
  <si>
    <t>Orthohantavirus hantanense</t>
  </si>
  <si>
    <t>Rio Mamore virus</t>
  </si>
  <si>
    <t>Orthohantavirus mamorense</t>
  </si>
  <si>
    <t>11791973</t>
  </si>
  <si>
    <t>Paraguay</t>
  </si>
  <si>
    <t>Black creek canal virus</t>
  </si>
  <si>
    <t>Orthohantavirus nigrorivense</t>
  </si>
  <si>
    <t>20455779</t>
  </si>
  <si>
    <t xml:space="preserve">Puumala virus </t>
  </si>
  <si>
    <t>Orthohantavirus puumalaense</t>
  </si>
  <si>
    <t>Finland</t>
    <phoneticPr fontId="24" type="noConversion"/>
  </si>
  <si>
    <t>Sangassou virus</t>
  </si>
  <si>
    <t>Orthohantavirus sangassouense</t>
  </si>
  <si>
    <t>22278233</t>
  </si>
  <si>
    <t>Guinea</t>
  </si>
  <si>
    <t xml:space="preserve">Seoul virus </t>
  </si>
  <si>
    <t>Orthohantavirus seoulense</t>
  </si>
  <si>
    <t xml:space="preserve">Sin Nombre virus </t>
  </si>
  <si>
    <t>Orthohantavirus sinnombreense</t>
  </si>
  <si>
    <t>23110096</t>
  </si>
  <si>
    <t>Thailand virus</t>
  </si>
  <si>
    <t>Orthohantavirus thailandense</t>
  </si>
  <si>
    <t>24575755</t>
  </si>
  <si>
    <t>Thailand</t>
  </si>
  <si>
    <t>Tula virus</t>
  </si>
  <si>
    <t>Orthohantavirus tulaense</t>
  </si>
  <si>
    <t>Czech Republic</t>
  </si>
  <si>
    <t>Thottopalayam virus</t>
  </si>
  <si>
    <t>Thottimvirus thottapalayamense</t>
  </si>
  <si>
    <t>Thottimvirus</t>
  </si>
  <si>
    <t>17182762</t>
  </si>
  <si>
    <t>Paslahepevirus balayani</t>
  </si>
  <si>
    <t>Paslahepevirus</t>
  </si>
  <si>
    <t>Hepeviridae</t>
  </si>
  <si>
    <t>19697413</t>
  </si>
  <si>
    <t>Rocahepevirus ratti</t>
  </si>
  <si>
    <t>Rocahepevirus</t>
  </si>
  <si>
    <t>Rubivirus rubellae</t>
  </si>
  <si>
    <t>Rubivirus</t>
  </si>
  <si>
    <t>Matonaviridae</t>
  </si>
  <si>
    <t>Beiji nairovirus</t>
  </si>
  <si>
    <t>Norwavirus beijiense</t>
  </si>
  <si>
    <t>Norwavirus</t>
  </si>
  <si>
    <t>Nairoviridae</t>
  </si>
  <si>
    <t>Ixodida</t>
  </si>
  <si>
    <t xml:space="preserve">Dugbe virus </t>
  </si>
  <si>
    <t>Orthonairovirus dugbeense</t>
  </si>
  <si>
    <t>Orthonairovirus</t>
  </si>
  <si>
    <t>28479064</t>
  </si>
  <si>
    <t xml:space="preserve">Crimean-Congo hemorrhagic virus </t>
  </si>
  <si>
    <t>19815885</t>
  </si>
  <si>
    <t>Nairobi sheep disease virus</t>
  </si>
  <si>
    <t>Orthonairovirus nairobiense</t>
  </si>
  <si>
    <t>Songling virus</t>
  </si>
  <si>
    <t>Orthonairovirus songlingense</t>
  </si>
  <si>
    <t>Thiafora virus</t>
  </si>
  <si>
    <t>Orthonairovirus thiaforaense</t>
  </si>
  <si>
    <t>22864548</t>
  </si>
  <si>
    <t>France</t>
  </si>
  <si>
    <t>Yezo virus</t>
  </si>
  <si>
    <t>Orthonairovirus yezoense</t>
  </si>
  <si>
    <t>Alphainfluenzavirus influenzae</t>
  </si>
  <si>
    <t>Alphainfluenzavirus</t>
  </si>
  <si>
    <t>Orthomyxoviridae</t>
  </si>
  <si>
    <t>Betainfluenzavirus influenzae</t>
  </si>
  <si>
    <t>Betainfluenzavirus</t>
  </si>
  <si>
    <t>Gammainfluenzavirus influenzae</t>
  </si>
  <si>
    <t>Gammainfluenzavirus</t>
  </si>
  <si>
    <t>Bourbon virus</t>
  </si>
  <si>
    <t>Thogotovirus bourbonense</t>
  </si>
  <si>
    <t>Thogotovirus</t>
  </si>
  <si>
    <t>Dhori virus</t>
  </si>
  <si>
    <t>Thogotovirus dhoriense</t>
  </si>
  <si>
    <t>22526290</t>
  </si>
  <si>
    <t>Portugal</t>
  </si>
  <si>
    <t>Thogoto virus</t>
  </si>
  <si>
    <t>Thogotovirus thogotoense</t>
  </si>
  <si>
    <t xml:space="preserve">Nipah virus </t>
  </si>
  <si>
    <t>Henipavirus nipahense</t>
  </si>
  <si>
    <t>Henipavirus</t>
  </si>
  <si>
    <t>Paramyxoviridae</t>
  </si>
  <si>
    <t>Singapore</t>
  </si>
  <si>
    <t>Morbillivirus canis</t>
  </si>
  <si>
    <t>Morbillivirus</t>
  </si>
  <si>
    <t>Morbillivirus hominis</t>
  </si>
  <si>
    <t>Orthoavulavirus javaense</t>
  </si>
  <si>
    <t>Orthoavulavirus</t>
  </si>
  <si>
    <t>Orthorubulavirus hominis</t>
  </si>
  <si>
    <t>Orthorubulavirus</t>
  </si>
  <si>
    <t>28095926</t>
  </si>
  <si>
    <t>Orthorubulavirus laryngotracheitidis</t>
  </si>
  <si>
    <t>Orthorubulavirus mammalis</t>
  </si>
  <si>
    <t>Orthorubulavirus parotitidis</t>
  </si>
  <si>
    <t>Orthorubulavirus simiae</t>
  </si>
  <si>
    <t>Japan</t>
    <phoneticPr fontId="24" type="noConversion"/>
  </si>
  <si>
    <t>Achimota virus 2</t>
  </si>
  <si>
    <t>Pararubulavirus accraense</t>
  </si>
  <si>
    <t>Pararubulavirus</t>
  </si>
  <si>
    <t>Ghana</t>
  </si>
  <si>
    <t>Menangle virus</t>
  </si>
  <si>
    <t>Pararubulavirus menangleense</t>
  </si>
  <si>
    <t>Sosuga virus</t>
  </si>
  <si>
    <t>Pararubulavirus sosugaense</t>
  </si>
  <si>
    <t>Tioman virus</t>
  </si>
  <si>
    <t>Pararubulavirus tiomanense</t>
  </si>
  <si>
    <t>Respirovirus laryngotracheitidis</t>
  </si>
  <si>
    <t>Respirovirus</t>
  </si>
  <si>
    <t>23343342</t>
  </si>
  <si>
    <t>Respirovirus pneumoniae</t>
  </si>
  <si>
    <t>21466639</t>
  </si>
  <si>
    <t xml:space="preserve">Hendra virus </t>
  </si>
  <si>
    <t>Henipavirus hendraense</t>
  </si>
  <si>
    <t>Bunyamwera virus</t>
  </si>
  <si>
    <t>Orthobunyavirus bunyamweraense</t>
  </si>
  <si>
    <t>Orthobunyavirus</t>
  </si>
  <si>
    <t>Peribunyaviridae</t>
  </si>
  <si>
    <t>Bwamba virus</t>
  </si>
  <si>
    <t>Orthobunyavirus bwambaense</t>
  </si>
  <si>
    <t>Cache Valley virus</t>
  </si>
  <si>
    <t>Orthobunyavirus cacheense</t>
  </si>
  <si>
    <t>Caraparu virus</t>
  </si>
  <si>
    <t>Orthobunyavirus caraparuense</t>
  </si>
  <si>
    <t>Catu virus</t>
  </si>
  <si>
    <t>Orthobunyavirus catuense</t>
  </si>
  <si>
    <t>204207</t>
  </si>
  <si>
    <t>California encephalitis virus</t>
  </si>
  <si>
    <t>Orthobunyavirus encephalitidis</t>
  </si>
  <si>
    <t>21435229</t>
  </si>
  <si>
    <t>Guama virus</t>
  </si>
  <si>
    <t>Orthobunyavirus guamaense</t>
  </si>
  <si>
    <t>208304a0</t>
  </si>
  <si>
    <t xml:space="preserve">Guaroa virus </t>
  </si>
  <si>
    <t>Orthobunyavirus guaroaense</t>
  </si>
  <si>
    <t>20810845</t>
  </si>
  <si>
    <t>Orthobunyavirus insulae</t>
  </si>
  <si>
    <t>Surinam</t>
  </si>
  <si>
    <t>Jamestown Canyon virus</t>
  </si>
  <si>
    <t>Orthobunyavirus jamestownense</t>
  </si>
  <si>
    <t>La Crosse virus</t>
  </si>
  <si>
    <t>Orthobunyavirus lacrosseense</t>
  </si>
  <si>
    <t>Madrid virus</t>
  </si>
  <si>
    <t>Orthobunyavirus madridense</t>
  </si>
  <si>
    <t>16051848</t>
  </si>
  <si>
    <t>Marituba virus</t>
  </si>
  <si>
    <t>Orthobunyavirus maritubaense</t>
  </si>
  <si>
    <t>Nyando virus</t>
  </si>
  <si>
    <t>Orthobunyavirus nyandoense</t>
  </si>
  <si>
    <t>28488954</t>
  </si>
  <si>
    <t>Kenya</t>
  </si>
  <si>
    <t xml:space="preserve">Oriboca virus </t>
  </si>
  <si>
    <t>Orthobunyavirus oribocaense</t>
  </si>
  <si>
    <t xml:space="preserve">Oropouche virus </t>
  </si>
  <si>
    <t>Orthobunyavirus oropoucheense</t>
  </si>
  <si>
    <t>20727376</t>
  </si>
  <si>
    <t>Trinidad and Tobago</t>
  </si>
  <si>
    <t>Patois virus</t>
  </si>
  <si>
    <t>Orthobunyavirus patoisense</t>
  </si>
  <si>
    <t>3981</t>
  </si>
  <si>
    <t>Mexico</t>
  </si>
  <si>
    <t>Shuni virus</t>
  </si>
  <si>
    <t>Orthobunyavirus shuniense</t>
  </si>
  <si>
    <t xml:space="preserve">Tacaiuma virus </t>
  </si>
  <si>
    <t>Orthobunyavirus tacaiumaense</t>
  </si>
  <si>
    <t>19439468</t>
  </si>
  <si>
    <t>Umbre virus</t>
  </si>
  <si>
    <t>Orthobunyavirus umbreense</t>
  </si>
  <si>
    <t xml:space="preserve">Wyeomyia virus </t>
  </si>
  <si>
    <t>Orthobunyavirus wyeomyiae</t>
  </si>
  <si>
    <t>22278828</t>
  </si>
  <si>
    <t>South America</t>
  </si>
  <si>
    <t>Bandavirus dabieense</t>
  </si>
  <si>
    <t>Bandavirus</t>
  </si>
  <si>
    <t>Phenuiviridae</t>
  </si>
  <si>
    <t>Heartland virus</t>
  </si>
  <si>
    <t>Bandavirus heartlandense</t>
  </si>
  <si>
    <t>Candiru virus</t>
  </si>
  <si>
    <t>Phlebovirus candiruense</t>
  </si>
  <si>
    <t>Phlebovirus</t>
  </si>
  <si>
    <t>Phlebovirus napoliense</t>
  </si>
  <si>
    <t xml:space="preserve">Rift Valley fever virus </t>
  </si>
  <si>
    <t>Phlebovirus riftense</t>
  </si>
  <si>
    <t xml:space="preserve">Punta Toro virus </t>
  </si>
  <si>
    <t>Phlebovirus toroense</t>
  </si>
  <si>
    <t>Uukuniemi virus</t>
  </si>
  <si>
    <t>Uukuvirus uukuniemiense</t>
  </si>
  <si>
    <t>Uukuvirus</t>
  </si>
  <si>
    <t>Slovakia</t>
  </si>
  <si>
    <t>KM114249.1</t>
  </si>
  <si>
    <t>Orthopicobirnavirus hominis</t>
  </si>
  <si>
    <t>Orthopicobirnavirus</t>
  </si>
  <si>
    <t>Picobirnaviridae</t>
  </si>
  <si>
    <t>dsRNA</t>
  </si>
  <si>
    <t>17245535</t>
  </si>
  <si>
    <t>Aphthovirus burrowsi</t>
  </si>
  <si>
    <t>Aphthovirus</t>
  </si>
  <si>
    <t>Picornaviridae</t>
  </si>
  <si>
    <t>15778036</t>
  </si>
  <si>
    <t>Aphthovirus vesiculae</t>
  </si>
  <si>
    <t>18834510</t>
  </si>
  <si>
    <t>Germany</t>
    <phoneticPr fontId="24" type="noConversion"/>
  </si>
  <si>
    <t>Cardiovirus rueckerti</t>
  </si>
  <si>
    <t>Cardiovirus</t>
  </si>
  <si>
    <t>Cardiovirus theileri</t>
  </si>
  <si>
    <t>Cosavirus asiani</t>
  </si>
  <si>
    <t>Cosavirus</t>
  </si>
  <si>
    <t>27631733</t>
  </si>
  <si>
    <t>Pakistan</t>
  </si>
  <si>
    <t>Cosavirus bepakis</t>
  </si>
  <si>
    <t>Cosavirus depakis</t>
  </si>
  <si>
    <t>Cosavirus eaustrali</t>
  </si>
  <si>
    <t>Cosavirus fepakis</t>
  </si>
  <si>
    <t>Enterovirus alphacoxsackie</t>
  </si>
  <si>
    <t>Enterovirus</t>
  </si>
  <si>
    <t>Enterovirus alpharhino</t>
  </si>
  <si>
    <t>Enterovirus betacoxsackie</t>
  </si>
  <si>
    <t>Enterovirus betarhino</t>
  </si>
  <si>
    <t>Enterovirus cerhino</t>
  </si>
  <si>
    <t>Enterovirus coxsackiepol</t>
  </si>
  <si>
    <t>Enterovirus deconjuncti</t>
  </si>
  <si>
    <t>Enterovirus eibovi</t>
  </si>
  <si>
    <t>Enterovirus hesimi</t>
  </si>
  <si>
    <t>Erbovirus A</t>
  </si>
  <si>
    <t>Erbovirus aequirhi</t>
  </si>
  <si>
    <t>Erbovirus</t>
  </si>
  <si>
    <t>Austria</t>
  </si>
  <si>
    <t>Hepatovirus ahepa</t>
  </si>
  <si>
    <t>Hepatovirus</t>
  </si>
  <si>
    <t>Kobuvirus aichi</t>
  </si>
  <si>
    <t>Kobuvirus</t>
  </si>
  <si>
    <t>Parechovirus ahumpari</t>
  </si>
  <si>
    <t>Parechovirus</t>
  </si>
  <si>
    <t>Parechovirus beljungani</t>
  </si>
  <si>
    <t>Sweden</t>
  </si>
  <si>
    <t>Salivirus aklasse</t>
  </si>
  <si>
    <t>Salivirus</t>
  </si>
  <si>
    <t>Metapneumovirus avis</t>
  </si>
  <si>
    <t>Metapneumovirus</t>
  </si>
  <si>
    <t>Pneumoviridae</t>
  </si>
  <si>
    <t>Metapneumovirus hominis</t>
  </si>
  <si>
    <t>Netherlands</t>
    <phoneticPr fontId="24" type="noConversion"/>
  </si>
  <si>
    <t>Orthopneumovirus hominis</t>
  </si>
  <si>
    <t>Orthopneumovirus</t>
  </si>
  <si>
    <t>Deltaretrovirus priTlym1</t>
  </si>
  <si>
    <t>Deltaretrovirus</t>
  </si>
  <si>
    <t>Retroviridae</t>
  </si>
  <si>
    <t>ssRNA-RT</t>
  </si>
  <si>
    <t>Deltaretrovirus priTlym2</t>
  </si>
  <si>
    <t>Deltaretrovirus priTlym3</t>
  </si>
  <si>
    <t>Cameroon</t>
  </si>
  <si>
    <t>Lentivirus humimdef1</t>
  </si>
  <si>
    <t>Lentivirus</t>
  </si>
  <si>
    <t>7962552</t>
  </si>
  <si>
    <t>France</t>
    <phoneticPr fontId="24" type="noConversion"/>
  </si>
  <si>
    <t>Lentivirus humimdef2</t>
  </si>
  <si>
    <t>27530215</t>
  </si>
  <si>
    <t>Senegal</t>
  </si>
  <si>
    <t>Lentivirus simimdef</t>
  </si>
  <si>
    <t>Simiispumavirus</t>
  </si>
  <si>
    <t>ssRNA-RT</t>
    <phoneticPr fontId="0" type="noConversion"/>
  </si>
  <si>
    <t>Canada</t>
  </si>
  <si>
    <t>Australian bat lyssavirus</t>
  </si>
  <si>
    <t>Lyssavirus australis</t>
  </si>
  <si>
    <t>Lyssavirus</t>
  </si>
  <si>
    <t>Rhabdoviridae</t>
  </si>
  <si>
    <t>28033365</t>
  </si>
  <si>
    <t xml:space="preserve">Duvenhage virus </t>
  </si>
  <si>
    <t>Lyssavirus duvenhage</t>
  </si>
  <si>
    <t>19636367</t>
  </si>
  <si>
    <t>European bat lyssavirus 1</t>
  </si>
  <si>
    <t>Lyssavirus hamburg</t>
  </si>
  <si>
    <t>18205973</t>
  </si>
  <si>
    <t>European bat lyssavirus 2</t>
  </si>
  <si>
    <t>Lyssavirus helsinki</t>
  </si>
  <si>
    <t>Finland</t>
  </si>
  <si>
    <t>Irkut virus</t>
  </si>
  <si>
    <t>Lyssavirus irkut</t>
  </si>
  <si>
    <t xml:space="preserve">Mokola virus </t>
  </si>
  <si>
    <t>Lyssavirus mokola</t>
  </si>
  <si>
    <t>Lyssavirus rabies</t>
  </si>
  <si>
    <t xml:space="preserve">Ekpoma virus 1  </t>
  </si>
  <si>
    <t>Tibrovirus alphaekpoma</t>
  </si>
  <si>
    <t>Tibrovirus</t>
  </si>
  <si>
    <t>25781465</t>
  </si>
  <si>
    <t>Ekpoma virus 2</t>
  </si>
  <si>
    <t>Tibrovirus betaekpoma</t>
  </si>
  <si>
    <t>Bas-Congo virus</t>
  </si>
  <si>
    <t>Tibrovirus congo</t>
  </si>
  <si>
    <t>23028323</t>
  </si>
  <si>
    <t>Vesiculovirus alagoas</t>
  </si>
  <si>
    <t>Vesiculovirus</t>
  </si>
  <si>
    <t xml:space="preserve">Chandipura virus </t>
  </si>
  <si>
    <t>Vesiculovirus chandipura</t>
  </si>
  <si>
    <t>22721825</t>
  </si>
  <si>
    <t>Cocal virus</t>
  </si>
  <si>
    <t>Vesiculovirus cocal</t>
  </si>
  <si>
    <t>21830071</t>
  </si>
  <si>
    <t>Vesiculovirus indiana</t>
  </si>
  <si>
    <t>2845825</t>
  </si>
  <si>
    <t>Isfahan virus</t>
  </si>
  <si>
    <t>Vesiculovirus isfahan</t>
  </si>
  <si>
    <t>192094</t>
  </si>
  <si>
    <t>Maraba virus</t>
  </si>
  <si>
    <t>Vesiculovirus maraba</t>
  </si>
  <si>
    <t>Vesiculovirus newjersey</t>
  </si>
  <si>
    <t xml:space="preserve">Piry virus </t>
  </si>
  <si>
    <t>Vesiculovirus piry</t>
  </si>
  <si>
    <t>Corriparta virus</t>
  </si>
  <si>
    <t>Orbivirus alphamitchellense</t>
  </si>
  <si>
    <t>Orbivirus</t>
  </si>
  <si>
    <t>Sedoreoviridae</t>
  </si>
  <si>
    <t xml:space="preserve">Lebombo virus </t>
  </si>
  <si>
    <t>Orbivirus lebomboense</t>
  </si>
  <si>
    <t>24475112</t>
  </si>
  <si>
    <t xml:space="preserve">Great Island virus </t>
  </si>
  <si>
    <t>Orbivirus magninsulae</t>
  </si>
  <si>
    <t>26350980</t>
  </si>
  <si>
    <t>16216136</t>
  </si>
  <si>
    <t xml:space="preserve">Orungo virus </t>
  </si>
  <si>
    <t>Orbivirus orungoense</t>
  </si>
  <si>
    <t xml:space="preserve">Rotavirus A </t>
  </si>
  <si>
    <t>Rotavirus alphagastroenteritidis</t>
  </si>
  <si>
    <t>Rotavirus</t>
  </si>
  <si>
    <t>Rotavirus H</t>
  </si>
  <si>
    <t>Rotavirus aspergastroenteritidis</t>
  </si>
  <si>
    <t>26658066</t>
  </si>
  <si>
    <t xml:space="preserve">Rotavirus B </t>
  </si>
  <si>
    <t>Rotavirus betagastroenteritidis</t>
  </si>
  <si>
    <t>9230391</t>
  </si>
  <si>
    <t xml:space="preserve">Rotavirus C </t>
  </si>
  <si>
    <t>Rotavirus tritogastroenteritidis</t>
  </si>
  <si>
    <t xml:space="preserve">Banna virus </t>
  </si>
  <si>
    <t>Seadornavirus bannaense</t>
  </si>
  <si>
    <t>Seadornavirus</t>
  </si>
  <si>
    <t xml:space="preserve">Colorado tick fever virus </t>
  </si>
  <si>
    <t>Coltivirus dermacentoris</t>
  </si>
  <si>
    <t>Coltivirus</t>
  </si>
  <si>
    <t>Spinareoviridae</t>
  </si>
  <si>
    <t>17126919</t>
  </si>
  <si>
    <t>Eyach virus</t>
  </si>
  <si>
    <t>Coltivirus ixodis</t>
  </si>
  <si>
    <t>Orthoreovirus mammalis</t>
  </si>
  <si>
    <t>Orthoreovirus</t>
  </si>
  <si>
    <t>Nelson Bay orthoreovirus</t>
  </si>
  <si>
    <t>Orthoreovirus nelsonense</t>
  </si>
  <si>
    <t xml:space="preserve">Barmah Forest virus </t>
  </si>
  <si>
    <t>Alphavirus barmah</t>
  </si>
  <si>
    <t>Alphavirus</t>
  </si>
  <si>
    <t>Togaviridae</t>
  </si>
  <si>
    <t>U73745.1</t>
  </si>
  <si>
    <t>Alphavirus chikungunya</t>
  </si>
  <si>
    <t>Tanzania</t>
  </si>
  <si>
    <t>Alphavirus eastern</t>
  </si>
  <si>
    <t>10466964</t>
  </si>
  <si>
    <t xml:space="preserve">Everglades virus </t>
  </si>
  <si>
    <t>Alphavirus everglades</t>
  </si>
  <si>
    <t>17326938</t>
  </si>
  <si>
    <t>AF075251.1</t>
  </si>
  <si>
    <t xml:space="preserve">Getah virus </t>
  </si>
  <si>
    <t xml:space="preserve">Alphavirus getah </t>
  </si>
  <si>
    <t>23268691</t>
  </si>
  <si>
    <t>AY702913.1</t>
  </si>
  <si>
    <t>Highlands J virus</t>
  </si>
  <si>
    <t>Alphavirus highlandsj</t>
  </si>
  <si>
    <t>Madariaga virus</t>
  </si>
  <si>
    <t>Alphavirus madariaga</t>
  </si>
  <si>
    <t> 27101567</t>
  </si>
  <si>
    <t>DQ241303.1</t>
  </si>
  <si>
    <t xml:space="preserve">Mayaro virus </t>
  </si>
  <si>
    <t>Alphavirus mayaro</t>
  </si>
  <si>
    <t>Mosso das Pedras virus</t>
  </si>
  <si>
    <t>Alphavirus mossopedras</t>
  </si>
  <si>
    <t>17947533</t>
  </si>
  <si>
    <t>AF075257.1</t>
  </si>
  <si>
    <t>Mucambo virus</t>
  </si>
  <si>
    <t>Alphavirus mucambo</t>
  </si>
  <si>
    <t>AF075253.1</t>
  </si>
  <si>
    <t>Ndumu virus</t>
  </si>
  <si>
    <t>Alphavirus ndumu</t>
  </si>
  <si>
    <t>23006778</t>
  </si>
  <si>
    <t>HM147989.1</t>
  </si>
  <si>
    <t>Rio Negro virus</t>
  </si>
  <si>
    <t>Alphavirus negro</t>
  </si>
  <si>
    <t>19402767</t>
  </si>
  <si>
    <t>AF075258.1</t>
  </si>
  <si>
    <t>Alphavirus onyong</t>
  </si>
  <si>
    <t>10466973</t>
  </si>
  <si>
    <t>AF079456.1</t>
  </si>
  <si>
    <t xml:space="preserve">Pixuna virus </t>
  </si>
  <si>
    <t>Alphavirus pixuna</t>
  </si>
  <si>
    <t>AF075256.1</t>
  </si>
  <si>
    <t xml:space="preserve">Ross River virus </t>
  </si>
  <si>
    <t>Alphavirus rossriver</t>
  </si>
  <si>
    <t>GQ433354.1</t>
  </si>
  <si>
    <t xml:space="preserve">Semliki Forest virus </t>
  </si>
  <si>
    <t>Alphavirus semliki</t>
  </si>
  <si>
    <t xml:space="preserve">Sindbis virus </t>
  </si>
  <si>
    <t>Alphavirus sindbis</t>
  </si>
  <si>
    <t>15554947</t>
  </si>
  <si>
    <t>Egypt</t>
  </si>
  <si>
    <t>Tonate virus</t>
  </si>
  <si>
    <t>Alphavirus tonate</t>
  </si>
  <si>
    <t>11463116</t>
  </si>
  <si>
    <t>AF075254.1</t>
  </si>
  <si>
    <t>Una virus</t>
  </si>
  <si>
    <t>Alphavirus una</t>
  </si>
  <si>
    <t xml:space="preserve">Venezuelan equine encephalitis virus </t>
  </si>
  <si>
    <t>Alphavirus venezuelan</t>
  </si>
  <si>
    <t>Alphavirus western</t>
  </si>
  <si>
    <t>GQ287646.1</t>
  </si>
  <si>
    <t xml:space="preserve">Whataroa virus </t>
  </si>
  <si>
    <t>Alphavirus whataroa</t>
  </si>
  <si>
    <t>New Zealand</t>
  </si>
  <si>
    <t>HM147993.1</t>
  </si>
  <si>
    <t>Rhinovirus C</t>
  </si>
  <si>
    <t>Cambodia</t>
  </si>
  <si>
    <t>Parahenipavirus langyaense</t>
  </si>
  <si>
    <t>Parahenipavirus</t>
  </si>
  <si>
    <t>Phlebovirus siciliaense</t>
  </si>
  <si>
    <t>Phlebovirus toscanaense</t>
  </si>
  <si>
    <t>Uukuvirus tachengense</t>
  </si>
  <si>
    <t>Cardiovirus saffoldi</t>
  </si>
  <si>
    <t>Tibrovirus mundri</t>
  </si>
  <si>
    <t>South Sudan</t>
  </si>
  <si>
    <t>Mobala virus</t>
  </si>
  <si>
    <t>Mamastrovirus 1</t>
  </si>
  <si>
    <t>Mamastrovirus 8</t>
  </si>
  <si>
    <t>Mamastrovirus 6</t>
  </si>
  <si>
    <t>Mamastrovirus 9</t>
  </si>
  <si>
    <t>Variegated squirrel bornavirus 1</t>
  </si>
  <si>
    <t>Vesicular exanthema of swine virus</t>
  </si>
  <si>
    <t>Human coronavirus NL63</t>
  </si>
  <si>
    <t>Human coronavirus 229E</t>
  </si>
  <si>
    <t>Transmissible gastroenteritis virus</t>
  </si>
  <si>
    <t>Human coronavirus OC43</t>
  </si>
  <si>
    <t>Severe acute respiratory syndrome coronavirus</t>
  </si>
  <si>
    <t>Hepatitis C virus</t>
  </si>
  <si>
    <t xml:space="preserve">Dengue virus </t>
  </si>
  <si>
    <t xml:space="preserve">Tick-borne encephalitis virus </t>
  </si>
  <si>
    <t xml:space="preserve">Yellow fever virus </t>
  </si>
  <si>
    <t>Human hepegivirus</t>
  </si>
  <si>
    <t>Human pegivirus</t>
  </si>
  <si>
    <t>Bovine viral diarrhea virus 1</t>
  </si>
  <si>
    <t>Bayou virus</t>
  </si>
  <si>
    <t>Hepatitis E virus</t>
  </si>
  <si>
    <t>Rat hepatitis E virus</t>
  </si>
  <si>
    <t xml:space="preserve">Rubella virus </t>
  </si>
  <si>
    <t>Influenza A virus</t>
  </si>
  <si>
    <t xml:space="preserve">Influenza B virus </t>
  </si>
  <si>
    <t xml:space="preserve">Influenza C virus  </t>
  </si>
  <si>
    <t>Canine distemper virus</t>
  </si>
  <si>
    <t xml:space="preserve">Measles virus </t>
  </si>
  <si>
    <t>Avian paramyxovirus 1</t>
  </si>
  <si>
    <t>Human parainfluenza virus 4</t>
  </si>
  <si>
    <t>Human parainfluenza virus 2</t>
  </si>
  <si>
    <t>Parainfluenza virus 5</t>
  </si>
  <si>
    <t>Mumps virus</t>
  </si>
  <si>
    <t>Simian virus 41</t>
  </si>
  <si>
    <t>Human parainfluenza virus 1</t>
  </si>
  <si>
    <t>Human parainfluenza virus 3</t>
  </si>
  <si>
    <t>Kairi virus</t>
  </si>
  <si>
    <t>Severe fever with thrombocytopenia syndrome virus</t>
  </si>
  <si>
    <t xml:space="preserve">Sandfly fever Naples virus </t>
  </si>
  <si>
    <t xml:space="preserve">Human picobirnavirus </t>
  </si>
  <si>
    <t>Equine rhinitis A virus</t>
  </si>
  <si>
    <t xml:space="preserve">Foot-and-mouth disease virus </t>
  </si>
  <si>
    <t>Cardiovirus A</t>
  </si>
  <si>
    <t>Cardiovirus B</t>
  </si>
  <si>
    <t>Cosavirus A</t>
  </si>
  <si>
    <t>Cosavirus B</t>
  </si>
  <si>
    <t>Cosavirus D</t>
  </si>
  <si>
    <t>Cosavirus E</t>
  </si>
  <si>
    <t>Cosavirus F</t>
  </si>
  <si>
    <t>Coxsackievirus A</t>
  </si>
  <si>
    <t>Rhinovirus A</t>
  </si>
  <si>
    <t>Coxsackievirus B</t>
  </si>
  <si>
    <t>Rhinovirus B</t>
  </si>
  <si>
    <t xml:space="preserve">Poliovirus </t>
  </si>
  <si>
    <t>Enterovirus D</t>
  </si>
  <si>
    <t>Enterovirus E</t>
  </si>
  <si>
    <t>Enterovirus H</t>
  </si>
  <si>
    <t>Hepatitis A virus</t>
  </si>
  <si>
    <t>Aichivirus A</t>
  </si>
  <si>
    <t>Parechovirus A</t>
  </si>
  <si>
    <t>Parechovirus B</t>
  </si>
  <si>
    <t>Salivirus A</t>
  </si>
  <si>
    <t>Avian metapneumovirus</t>
  </si>
  <si>
    <t>Human metapneumovirus</t>
  </si>
  <si>
    <t>Human respiratory syncytial virus</t>
  </si>
  <si>
    <t xml:space="preserve">Primate T-lymphotropic virus 1 </t>
  </si>
  <si>
    <t xml:space="preserve">Primate T-lymphotropic virus 2 </t>
  </si>
  <si>
    <t>Primate T-lymphotropic virus 3</t>
  </si>
  <si>
    <t xml:space="preserve">Human immunodeficiency virus 1 </t>
  </si>
  <si>
    <t xml:space="preserve">Human immunodeficiency virus 2 </t>
  </si>
  <si>
    <t>Simian immunodeficiency virus</t>
  </si>
  <si>
    <t>Simian foamy virus Cercopithecus nictitans</t>
  </si>
  <si>
    <t>Simian foamy virus Chlorocebus aethiops</t>
  </si>
  <si>
    <t>Simian foamy virus Macaca cyclopis</t>
  </si>
  <si>
    <t>Simian foamy virus Pan troglodytes schweinfurthii</t>
  </si>
  <si>
    <t>Simian foamy virus Pan troglodytes troglodytes</t>
  </si>
  <si>
    <t>Rabies virus</t>
  </si>
  <si>
    <t>Vesicular stomatitis Alagoas virus</t>
  </si>
  <si>
    <t>Vesicular stomatitis Indiana virus</t>
  </si>
  <si>
    <t>Vesicular stomatitis New Jersey virus</t>
  </si>
  <si>
    <t>Mammalian orthoreovirus</t>
  </si>
  <si>
    <t xml:space="preserve">Chikungunya virus </t>
  </si>
  <si>
    <t>Eastern equine encephalitis virus North American</t>
  </si>
  <si>
    <t>O'nyong-nyong virus</t>
  </si>
  <si>
    <t xml:space="preserve">Western equine encephalitis virus </t>
  </si>
  <si>
    <t>Simiispumavirus cernic</t>
  </si>
  <si>
    <t>Simiispumavirus chlaet</t>
  </si>
  <si>
    <t>Simiispumavirus maccyc</t>
  </si>
  <si>
    <t>Simiispumavirus pantrosch</t>
  </si>
  <si>
    <t>Simiispumavirus pantrotro</t>
  </si>
  <si>
    <t>0*</t>
  </si>
  <si>
    <t>Bolivia</t>
  </si>
  <si>
    <t>South Africa</t>
  </si>
  <si>
    <t>Russia</t>
  </si>
  <si>
    <t>Serbia</t>
  </si>
  <si>
    <t>South Korea</t>
  </si>
  <si>
    <t>Iran</t>
  </si>
  <si>
    <t>Oceania</t>
  </si>
  <si>
    <t>Europe</t>
  </si>
  <si>
    <t>Asia</t>
  </si>
  <si>
    <t>North America</t>
  </si>
  <si>
    <t>Caribbean</t>
  </si>
  <si>
    <t>Sub-Saharan Africa</t>
  </si>
  <si>
    <t>Common name</t>
  </si>
  <si>
    <t>ICTV species</t>
  </si>
  <si>
    <t>ICTV genus</t>
  </si>
  <si>
    <t>ICTV family</t>
  </si>
  <si>
    <t>Enveloped</t>
  </si>
  <si>
    <t>Genome type</t>
  </si>
  <si>
    <t>ICTV taxonomic history</t>
  </si>
  <si>
    <t>Discovery date</t>
  </si>
  <si>
    <t>Discovery reference</t>
  </si>
  <si>
    <t>Sexual contact</t>
  </si>
  <si>
    <t>Iatrogenic</t>
  </si>
  <si>
    <t>Broken skin</t>
  </si>
  <si>
    <t>Direct contact</t>
  </si>
  <si>
    <t>Other vertebrates</t>
  </si>
  <si>
    <t>Discovery country</t>
  </si>
  <si>
    <t>Discovery region</t>
  </si>
  <si>
    <t>ssRNA(-)</t>
  </si>
  <si>
    <t>ssRNA(-/+)</t>
  </si>
  <si>
    <t>ssRNA(+)</t>
  </si>
  <si>
    <t>North Africa/Middle East</t>
  </si>
  <si>
    <t>Sequence ID</t>
  </si>
  <si>
    <t>Ixodida*</t>
  </si>
  <si>
    <t>Diptera*</t>
  </si>
  <si>
    <t>4a*</t>
  </si>
  <si>
    <t xml:space="preserve"> </t>
  </si>
  <si>
    <t>ISBN 9780123751560</t>
  </si>
  <si>
    <t>ISBN 9780323555128</t>
  </si>
  <si>
    <t>Deltacoronavirus suis</t>
  </si>
  <si>
    <t>Deltacoronavirus</t>
  </si>
  <si>
    <t>Orthonairovirus tachengense</t>
  </si>
  <si>
    <t>Orthonairovirus haemorrhagiae</t>
  </si>
  <si>
    <t>AY358026.2</t>
  </si>
  <si>
    <t>AF427517.1</t>
  </si>
  <si>
    <t>EU260464.1</t>
  </si>
  <si>
    <t>AY847351.1</t>
  </si>
  <si>
    <t>AY358024.2</t>
  </si>
  <si>
    <t>AY358022.2</t>
  </si>
  <si>
    <t>KF478761.1</t>
  </si>
  <si>
    <t>FJ952385.1</t>
  </si>
  <si>
    <t>AY358021.2</t>
  </si>
  <si>
    <t>DQ328876.1</t>
  </si>
  <si>
    <t>AY924395.1</t>
  </si>
  <si>
    <t>KC285152.2</t>
  </si>
  <si>
    <t>GQ415660.1</t>
  </si>
  <si>
    <t>FJ222451.1</t>
  </si>
  <si>
    <t>FJ973620.1</t>
  </si>
  <si>
    <t>U04608.1</t>
  </si>
  <si>
    <t>LN713680.1</t>
  </si>
  <si>
    <t>AF504671.2</t>
  </si>
  <si>
    <t>HM002617.1</t>
  </si>
  <si>
    <t>U76874.2</t>
  </si>
  <si>
    <t>AY567487.2</t>
  </si>
  <si>
    <t>AF304460.1</t>
  </si>
  <si>
    <t>AJ271965.2</t>
  </si>
  <si>
    <t>JX869059.2</t>
  </si>
  <si>
    <t>KX344031.1</t>
  </si>
  <si>
    <t>AY597011.2</t>
  </si>
  <si>
    <t>AY274119.3</t>
  </si>
  <si>
    <t>FJ217161.1</t>
  </si>
  <si>
    <t>MT796851.1</t>
  </si>
  <si>
    <t>AY729654.1</t>
  </si>
  <si>
    <t>FJ217162.1</t>
  </si>
  <si>
    <t>AF086833.2</t>
  </si>
  <si>
    <t>DQ217792.2</t>
  </si>
  <si>
    <t>OR346001.1</t>
  </si>
  <si>
    <t>AY632536.4</t>
  </si>
  <si>
    <t>AY632545.2</t>
  </si>
  <si>
    <t>JQ582840.1</t>
  </si>
  <si>
    <t>KF917536.1</t>
  </si>
  <si>
    <t>PP128486.1</t>
  </si>
  <si>
    <t>PV173737.1</t>
  </si>
  <si>
    <t>X03700.1</t>
  </si>
  <si>
    <t>AY632539.4</t>
  </si>
  <si>
    <t>PV026211.1</t>
  </si>
  <si>
    <t>AY632541.4</t>
  </si>
  <si>
    <t>OR179911.1</t>
  </si>
  <si>
    <t>OP037822.1</t>
  </si>
  <si>
    <t>DQ525916.1</t>
  </si>
  <si>
    <t>Y07863.1</t>
  </si>
  <si>
    <t>AF161266.1</t>
  </si>
  <si>
    <t>M12294.2</t>
  </si>
  <si>
    <t>JX236040.3</t>
  </si>
  <si>
    <t>AY193805.1</t>
  </si>
  <si>
    <t>L06436.1</t>
  </si>
  <si>
    <t>JF895923.2</t>
  </si>
  <si>
    <t>AY453411.1</t>
  </si>
  <si>
    <t>EU707555.1</t>
  </si>
  <si>
    <t>AY632535.2</t>
  </si>
  <si>
    <t>MG457178.1</t>
  </si>
  <si>
    <t>MK684252.1</t>
  </si>
  <si>
    <t>PV168123.1</t>
  </si>
  <si>
    <t>PP058739.1</t>
  </si>
  <si>
    <t>PP639090.1</t>
  </si>
  <si>
    <t>KT983773.1</t>
  </si>
  <si>
    <t>AJ410617.1</t>
  </si>
  <si>
    <t>OR113742.1</t>
  </si>
  <si>
    <t>FJ809772.1</t>
  </si>
  <si>
    <t>GU997097.1</t>
  </si>
  <si>
    <t>MN832782.1</t>
  </si>
  <si>
    <t>PV031656.1</t>
  </si>
  <si>
    <t>MG717393.1</t>
  </si>
  <si>
    <t>AJ005637.1</t>
  </si>
  <si>
    <t>DQ825770.1</t>
  </si>
  <si>
    <t>MZ751061.1</t>
  </si>
  <si>
    <t>GU345042.1</t>
  </si>
  <si>
    <t>JN635296.1</t>
  </si>
  <si>
    <t>PQ475581.1</t>
  </si>
  <si>
    <t>MW917186.1</t>
  </si>
  <si>
    <t>PQ463982.1</t>
  </si>
  <si>
    <t>OR495602.1</t>
  </si>
  <si>
    <t>PQ475687.1</t>
  </si>
  <si>
    <t>PQ220370.1</t>
  </si>
  <si>
    <t>LC811910.1</t>
  </si>
  <si>
    <t>AF212302.2</t>
  </si>
  <si>
    <t>AF014953.1</t>
  </si>
  <si>
    <t>AB016162.1</t>
  </si>
  <si>
    <t>AY562991.1</t>
  </si>
  <si>
    <t>AB543336.1</t>
  </si>
  <si>
    <t>KM190939.1</t>
  </si>
  <si>
    <t>OR043657.1</t>
  </si>
  <si>
    <t>AB040874.1</t>
  </si>
  <si>
    <t>JX051320.1</t>
  </si>
  <si>
    <t>JX112711.1</t>
  </si>
  <si>
    <t>KF774436.1</t>
  </si>
  <si>
    <t>AF298895.2</t>
  </si>
  <si>
    <t>AF457102.1</t>
  </si>
  <si>
    <t>EU326526.1</t>
  </si>
  <si>
    <t>AF017149.3</t>
  </si>
  <si>
    <t>OQ790098.1</t>
  </si>
  <si>
    <t>KX100135.1</t>
  </si>
  <si>
    <t>MK896588.1</t>
  </si>
  <si>
    <t>KX817312.1</t>
  </si>
  <si>
    <t>KM245524.1</t>
  </si>
  <si>
    <t>KR260738.1</t>
  </si>
  <si>
    <t>MN135991.1</t>
  </si>
  <si>
    <t>EF485032.1</t>
  </si>
  <si>
    <t>MK896533.1</t>
  </si>
  <si>
    <t>MK896530.1</t>
  </si>
  <si>
    <t>MK896506.1</t>
  </si>
  <si>
    <t>AF484424.1</t>
  </si>
  <si>
    <t>MK896491.1</t>
  </si>
  <si>
    <t>MF361853.1</t>
  </si>
  <si>
    <t>MK896462.1</t>
  </si>
  <si>
    <t>MH484345.1</t>
  </si>
  <si>
    <t>HM745930.1</t>
  </si>
  <si>
    <t>OQ688999.1</t>
  </si>
  <si>
    <t>HM119407.1</t>
  </si>
  <si>
    <t>HM566167.1</t>
  </si>
  <si>
    <t>DQ375403.1</t>
  </si>
  <si>
    <t>MK896483.1</t>
  </si>
  <si>
    <t>AB186898.1</t>
  </si>
  <si>
    <t>DQ272578.1</t>
  </si>
  <si>
    <t>AY593829.1</t>
  </si>
  <si>
    <t>X56019.1</t>
  </si>
  <si>
    <t>MT023104.1</t>
  </si>
  <si>
    <t>MT094379.1</t>
  </si>
  <si>
    <t>MN784123.1</t>
  </si>
  <si>
    <t>AY421760.1</t>
  </si>
  <si>
    <t>FJ445111.1</t>
  </si>
  <si>
    <t>DQ473485.1</t>
  </si>
  <si>
    <t>KP890664.1</t>
  </si>
  <si>
    <t>V01149.1</t>
  </si>
  <si>
    <t>AY426531.1</t>
  </si>
  <si>
    <t>D00214.1</t>
  </si>
  <si>
    <t>AF326759.2</t>
  </si>
  <si>
    <t>X96871.1</t>
  </si>
  <si>
    <t>M14707.1</t>
  </si>
  <si>
    <t>AB040749.1</t>
  </si>
  <si>
    <t>MW476137.1</t>
  </si>
  <si>
    <t>FJ384560.1</t>
  </si>
  <si>
    <t>GQ179640.3</t>
  </si>
  <si>
    <t>AY640317.1</t>
  </si>
  <si>
    <t>AF371337.2</t>
  </si>
  <si>
    <t>KJ672442.2</t>
  </si>
  <si>
    <t>AF074966.1</t>
  </si>
  <si>
    <t>M10060.1</t>
  </si>
  <si>
    <t>GQ463602.1</t>
  </si>
  <si>
    <t>AF033819.3</t>
  </si>
  <si>
    <t>M30502.1</t>
  </si>
  <si>
    <t>M58410.1</t>
  </si>
  <si>
    <t>JQ867466.1</t>
  </si>
  <si>
    <t>X54482.1</t>
  </si>
  <si>
    <t>KX087159.1</t>
  </si>
  <si>
    <t>JQ867463.1</t>
  </si>
  <si>
    <t>AF081020.2</t>
  </si>
  <si>
    <t>EU293119.1</t>
  </si>
  <si>
    <t>EF157976.1</t>
  </si>
  <si>
    <t>EF157977.2</t>
  </si>
  <si>
    <t>EF614260.1</t>
  </si>
  <si>
    <t>MT524707.1</t>
  </si>
  <si>
    <t>PP447341.1</t>
  </si>
  <si>
    <t>EU373658.1</t>
  </si>
  <si>
    <t>GU212856.1</t>
  </si>
  <si>
    <t>EU373657.1</t>
  </si>
  <si>
    <t>AF473864.1</t>
  </si>
  <si>
    <t>HQ660076.1</t>
  </si>
  <si>
    <t>JX121109.2</t>
  </si>
  <si>
    <t>KU178986.1</t>
  </si>
  <si>
    <t>MW809639.1</t>
  </si>
  <si>
    <t>JQ610665.1</t>
  </si>
  <si>
    <t>HM543465.1</t>
  </si>
  <si>
    <t>JQ610675.1</t>
  </si>
  <si>
    <t>MK692877.1</t>
  </si>
  <si>
    <t>KY689687.1</t>
  </si>
  <si>
    <t>PP874392.1</t>
  </si>
  <si>
    <t>KC954611.1</t>
  </si>
  <si>
    <t>OQ095371.1</t>
  </si>
  <si>
    <t>AF282467.1</t>
  </si>
  <si>
    <t>HM159613.1</t>
  </si>
  <si>
    <t>JF342667.1</t>
  </si>
  <si>
    <t>AF369024.2</t>
  </si>
  <si>
    <t>X63135.1</t>
  </si>
  <si>
    <t>FJ827631.1</t>
  </si>
  <si>
    <t>AF237947.1</t>
  </si>
  <si>
    <t>X04129.1</t>
  </si>
  <si>
    <t>J02363.1</t>
  </si>
  <si>
    <t>L01442.2</t>
  </si>
  <si>
    <t>Mammarenavirus wenzhouense</t>
  </si>
  <si>
    <t>Haiti</t>
  </si>
  <si>
    <t>Wenzhou mammarenavirus</t>
  </si>
  <si>
    <t>Langya henipavirus</t>
  </si>
  <si>
    <t>Sandfly fever Sicilian virus</t>
  </si>
  <si>
    <t>Toscana phlebovirus</t>
  </si>
  <si>
    <t>Tacheng tick virus 2</t>
  </si>
  <si>
    <t>Cardiovirus D</t>
  </si>
  <si>
    <t>Mundri virus</t>
  </si>
  <si>
    <t>Porcine deltacoronavirus</t>
  </si>
  <si>
    <t>Tacheng tick virus 1</t>
  </si>
  <si>
    <t>Vector references</t>
  </si>
  <si>
    <t>Transmission route references</t>
  </si>
  <si>
    <t>Transmission level references</t>
  </si>
  <si>
    <t>Host range references</t>
  </si>
  <si>
    <t>KJ909795.1</t>
  </si>
  <si>
    <t>OM101125.1</t>
  </si>
  <si>
    <t>GQ847513.2</t>
  </si>
  <si>
    <t>X68414.1</t>
  </si>
  <si>
    <t>EF165067.2</t>
  </si>
  <si>
    <t>MW685622.1</t>
  </si>
  <si>
    <t>ISBN 9783031494758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</si>
</sst>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£-809]#,##0.00;[Red]\-[$£-809]#,##0.00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9"/>
      <name val="Calibri"/>
      <family val="3"/>
      <charset val="134"/>
      <scheme val="minor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u/>
      <sz val="11"/>
      <color rgb="FF0563C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1"/>
      <name val="Calibri (Body)_x0000_"/>
    </font>
    <font>
      <sz val="11"/>
      <color theme="5"/>
      <name val="Calibri"/>
      <family val="2"/>
      <scheme val="minor"/>
    </font>
    <font>
      <sz val="11"/>
      <color theme="9"/>
      <name val="Calibri (Body)_x0000_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33CC"/>
      <name val="Calibri"/>
      <family val="2"/>
    </font>
    <font>
      <b/>
      <sz val="11"/>
      <name val="Calibri"/>
      <family val="2"/>
      <scheme val="minor"/>
    </font>
    <font>
      <u/>
      <sz val="10"/>
      <color rgb="FF000000"/>
      <name val="Arial"/>
      <family val="2"/>
    </font>
    <font>
      <sz val="11"/>
      <name val="Calibri (Body)_x0000_"/>
    </font>
    <font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/>
      <name val="Calibri (Body)_x0000_"/>
    </font>
    <font>
      <sz val="11"/>
      <color rgb="FF0033CC"/>
      <name val="Calibri"/>
      <family val="2"/>
      <scheme val="minor"/>
    </font>
    <font>
      <u/>
      <sz val="11"/>
      <color rgb="FF0033CC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0"/>
      <color rgb="FF7030A0"/>
      <name val="Arial"/>
      <family val="2"/>
    </font>
    <font>
      <sz val="11"/>
      <color theme="7" tint="0.79998168889431442"/>
      <name val="Calibri"/>
      <family val="2"/>
      <scheme val="minor"/>
    </font>
    <font>
      <sz val="11"/>
      <color theme="7" tint="0.79998168889431442"/>
      <name val="Calibri"/>
      <family val="2"/>
    </font>
    <font>
      <sz val="11"/>
      <color rgb="FF9966FF"/>
      <name val="Calibri"/>
      <family val="2"/>
      <scheme val="minor"/>
    </font>
    <font>
      <u/>
      <sz val="10"/>
      <color rgb="FF0033CC"/>
      <name val="Arial"/>
      <family val="2"/>
    </font>
    <font>
      <sz val="11"/>
      <color theme="7"/>
      <name val="Calibri"/>
      <family val="2"/>
      <scheme val="minor"/>
    </font>
    <font>
      <sz val="11"/>
      <color theme="7"/>
      <name val="Calibri"/>
      <family val="2"/>
    </font>
    <font>
      <sz val="10"/>
      <color rgb="FF0033CC"/>
      <name val="Arial"/>
      <family val="2"/>
    </font>
    <font>
      <sz val="11"/>
      <color theme="9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1"/>
      <color rgb="FF0033CC"/>
      <name val="Calibri (Body)_x0000_"/>
    </font>
    <font>
      <sz val="10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D7D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05">
    <xf numFmtId="164" fontId="0" fillId="0" borderId="0"/>
    <xf numFmtId="164" fontId="1" fillId="0" borderId="0"/>
    <xf numFmtId="164" fontId="18" fillId="0" borderId="10"/>
    <xf numFmtId="164" fontId="17" fillId="0" borderId="0" applyNumberFormat="0" applyFill="0" applyBorder="0" applyAlignment="0" applyProtection="0">
      <alignment vertical="top"/>
      <protection locked="0"/>
    </xf>
    <xf numFmtId="164" fontId="18" fillId="0" borderId="10"/>
    <xf numFmtId="164" fontId="20" fillId="0" borderId="0" applyNumberFormat="0" applyFill="0" applyBorder="0" applyAlignment="0" applyProtection="0"/>
    <xf numFmtId="164" fontId="2" fillId="0" borderId="1" applyNumberFormat="0" applyFill="0" applyAlignment="0" applyProtection="0"/>
    <xf numFmtId="164" fontId="3" fillId="0" borderId="2" applyNumberFormat="0" applyFill="0" applyAlignment="0" applyProtection="0"/>
    <xf numFmtId="164" fontId="4" fillId="0" borderId="3" applyNumberFormat="0" applyFill="0" applyAlignment="0" applyProtection="0"/>
    <xf numFmtId="164" fontId="4" fillId="0" borderId="0" applyNumberFormat="0" applyFill="0" applyBorder="0" applyAlignment="0" applyProtection="0"/>
    <xf numFmtId="164" fontId="5" fillId="2" borderId="0" applyNumberFormat="0" applyBorder="0" applyAlignment="0" applyProtection="0"/>
    <xf numFmtId="164" fontId="6" fillId="3" borderId="0" applyNumberFormat="0" applyBorder="0" applyAlignment="0" applyProtection="0"/>
    <xf numFmtId="164" fontId="7" fillId="4" borderId="0" applyNumberFormat="0" applyBorder="0" applyAlignment="0" applyProtection="0"/>
    <xf numFmtId="164" fontId="8" fillId="5" borderId="4" applyNumberFormat="0" applyAlignment="0" applyProtection="0"/>
    <xf numFmtId="164" fontId="9" fillId="6" borderId="5" applyNumberFormat="0" applyAlignment="0" applyProtection="0"/>
    <xf numFmtId="164" fontId="10" fillId="6" borderId="4" applyNumberFormat="0" applyAlignment="0" applyProtection="0"/>
    <xf numFmtId="164" fontId="11" fillId="0" borderId="6" applyNumberFormat="0" applyFill="0" applyAlignment="0" applyProtection="0"/>
    <xf numFmtId="164" fontId="12" fillId="7" borderId="7" applyNumberFormat="0" applyAlignment="0" applyProtection="0"/>
    <xf numFmtId="164" fontId="13" fillId="0" borderId="0" applyNumberFormat="0" applyFill="0" applyBorder="0" applyAlignment="0" applyProtection="0"/>
    <xf numFmtId="164" fontId="1" fillId="8" borderId="8" applyNumberFormat="0" applyFont="0" applyAlignment="0" applyProtection="0"/>
    <xf numFmtId="164" fontId="14" fillId="0" borderId="0" applyNumberFormat="0" applyFill="0" applyBorder="0" applyAlignment="0" applyProtection="0"/>
    <xf numFmtId="164" fontId="15" fillId="0" borderId="9" applyNumberFormat="0" applyFill="0" applyAlignment="0" applyProtection="0"/>
    <xf numFmtId="164" fontId="16" fillId="9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6" fillId="12" borderId="0" applyNumberFormat="0" applyBorder="0" applyAlignment="0" applyProtection="0"/>
    <xf numFmtId="164" fontId="16" fillId="13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6" fillId="16" borderId="0" applyNumberFormat="0" applyBorder="0" applyAlignment="0" applyProtection="0"/>
    <xf numFmtId="164" fontId="16" fillId="17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6" fillId="20" borderId="0" applyNumberFormat="0" applyBorder="0" applyAlignment="0" applyProtection="0"/>
    <xf numFmtId="164" fontId="16" fillId="21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6" fillId="24" borderId="0" applyNumberFormat="0" applyBorder="0" applyAlignment="0" applyProtection="0"/>
    <xf numFmtId="164" fontId="16" fillId="2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6" fillId="28" borderId="0" applyNumberFormat="0" applyBorder="0" applyAlignment="0" applyProtection="0"/>
    <xf numFmtId="164" fontId="16" fillId="29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6" fillId="32" borderId="0" applyNumberFormat="0" applyBorder="0" applyAlignment="0" applyProtection="0"/>
    <xf numFmtId="164" fontId="21" fillId="0" borderId="0"/>
    <xf numFmtId="164" fontId="18" fillId="0" borderId="0"/>
    <xf numFmtId="164" fontId="18" fillId="0" borderId="0"/>
    <xf numFmtId="164" fontId="22" fillId="0" borderId="0" applyNumberFormat="0" applyFill="0" applyBorder="0" applyAlignment="0" applyProtection="0"/>
    <xf numFmtId="164" fontId="18" fillId="0" borderId="10"/>
    <xf numFmtId="164" fontId="18" fillId="0" borderId="10"/>
    <xf numFmtId="164" fontId="17" fillId="0" borderId="0" applyNumberFormat="0" applyFill="0" applyBorder="0" applyAlignment="0" applyProtection="0">
      <alignment vertical="top"/>
      <protection locked="0"/>
    </xf>
    <xf numFmtId="164" fontId="23" fillId="0" borderId="0"/>
    <xf numFmtId="164" fontId="17" fillId="0" borderId="0" applyNumberFormat="0" applyFill="0" applyBorder="0" applyAlignment="0" applyProtection="0"/>
    <xf numFmtId="164" fontId="18" fillId="0" borderId="11"/>
    <xf numFmtId="164" fontId="18" fillId="0" borderId="11"/>
    <xf numFmtId="164" fontId="18" fillId="0" borderId="11"/>
    <xf numFmtId="164" fontId="23" fillId="0" borderId="0"/>
    <xf numFmtId="164" fontId="18" fillId="0" borderId="0"/>
    <xf numFmtId="164" fontId="18" fillId="0" borderId="0"/>
    <xf numFmtId="164" fontId="1" fillId="0" borderId="0"/>
    <xf numFmtId="164" fontId="1" fillId="0" borderId="0"/>
    <xf numFmtId="164" fontId="22" fillId="0" borderId="0" applyNumberForma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2" fillId="0" borderId="0" applyNumberForma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7" fillId="0" borderId="0" applyNumberFormat="0" applyFill="0" applyBorder="0" applyAlignment="0" applyProtection="0">
      <alignment vertical="top"/>
      <protection locked="0"/>
    </xf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26" fillId="0" borderId="0" applyNumberFormat="0" applyFill="0" applyBorder="0" applyAlignment="0" applyProtection="0">
      <alignment vertical="top"/>
      <protection locked="0"/>
    </xf>
    <xf numFmtId="164" fontId="26" fillId="0" borderId="0" applyNumberFormat="0" applyFill="0" applyBorder="0" applyAlignment="0" applyProtection="0">
      <alignment vertical="top"/>
      <protection locked="0"/>
    </xf>
    <xf numFmtId="164" fontId="25" fillId="0" borderId="0"/>
    <xf numFmtId="164" fontId="27" fillId="0" borderId="0" applyNumberFormat="0" applyFill="0" applyBorder="0" applyAlignment="0" applyProtection="0"/>
    <xf numFmtId="164" fontId="28" fillId="0" borderId="0" applyNumberFormat="0" applyFill="0" applyBorder="0" applyAlignment="0" applyProtection="0"/>
    <xf numFmtId="164" fontId="2" fillId="0" borderId="1" applyNumberFormat="0" applyFill="0" applyAlignment="0" applyProtection="0"/>
    <xf numFmtId="164" fontId="3" fillId="0" borderId="2" applyNumberFormat="0" applyFill="0" applyAlignment="0" applyProtection="0"/>
    <xf numFmtId="164" fontId="4" fillId="0" borderId="3" applyNumberFormat="0" applyFill="0" applyAlignment="0" applyProtection="0"/>
    <xf numFmtId="164" fontId="4" fillId="0" borderId="0" applyNumberFormat="0" applyFill="0" applyBorder="0" applyAlignment="0" applyProtection="0"/>
    <xf numFmtId="164" fontId="5" fillId="2" borderId="0" applyNumberFormat="0" applyBorder="0" applyAlignment="0" applyProtection="0"/>
    <xf numFmtId="164" fontId="6" fillId="3" borderId="0" applyNumberFormat="0" applyBorder="0" applyAlignment="0" applyProtection="0"/>
    <xf numFmtId="164" fontId="7" fillId="4" borderId="0" applyNumberFormat="0" applyBorder="0" applyAlignment="0" applyProtection="0"/>
    <xf numFmtId="164" fontId="8" fillId="5" borderId="4" applyNumberFormat="0" applyAlignment="0" applyProtection="0"/>
    <xf numFmtId="164" fontId="9" fillId="6" borderId="5" applyNumberFormat="0" applyAlignment="0" applyProtection="0"/>
    <xf numFmtId="164" fontId="10" fillId="6" borderId="4" applyNumberFormat="0" applyAlignment="0" applyProtection="0"/>
    <xf numFmtId="164" fontId="11" fillId="0" borderId="6" applyNumberFormat="0" applyFill="0" applyAlignment="0" applyProtection="0"/>
    <xf numFmtId="164" fontId="12" fillId="7" borderId="7" applyNumberFormat="0" applyAlignment="0" applyProtection="0"/>
    <xf numFmtId="164" fontId="13" fillId="0" borderId="0" applyNumberFormat="0" applyFill="0" applyBorder="0" applyAlignment="0" applyProtection="0"/>
    <xf numFmtId="164" fontId="1" fillId="8" borderId="8" applyNumberFormat="0" applyFont="0" applyAlignment="0" applyProtection="0"/>
    <xf numFmtId="164" fontId="14" fillId="0" borderId="0" applyNumberFormat="0" applyFill="0" applyBorder="0" applyAlignment="0" applyProtection="0"/>
    <xf numFmtId="164" fontId="15" fillId="0" borderId="9" applyNumberFormat="0" applyFill="0" applyAlignment="0" applyProtection="0"/>
    <xf numFmtId="164" fontId="16" fillId="9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6" fillId="12" borderId="0" applyNumberFormat="0" applyBorder="0" applyAlignment="0" applyProtection="0"/>
    <xf numFmtId="164" fontId="16" fillId="13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6" fillId="16" borderId="0" applyNumberFormat="0" applyBorder="0" applyAlignment="0" applyProtection="0"/>
    <xf numFmtId="164" fontId="16" fillId="17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6" fillId="20" borderId="0" applyNumberFormat="0" applyBorder="0" applyAlignment="0" applyProtection="0"/>
    <xf numFmtId="164" fontId="16" fillId="21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6" fillId="24" borderId="0" applyNumberFormat="0" applyBorder="0" applyAlignment="0" applyProtection="0"/>
    <xf numFmtId="164" fontId="16" fillId="2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6" fillId="28" borderId="0" applyNumberFormat="0" applyBorder="0" applyAlignment="0" applyProtection="0"/>
    <xf numFmtId="164" fontId="16" fillId="29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6" fillId="32" borderId="0" applyNumberFormat="0" applyBorder="0" applyAlignment="0" applyProtection="0"/>
    <xf numFmtId="164" fontId="1" fillId="0" borderId="0"/>
    <xf numFmtId="164" fontId="28" fillId="0" borderId="0" applyNumberFormat="0" applyFill="0" applyBorder="0" applyAlignment="0" applyProtection="0"/>
  </cellStyleXfs>
  <cellXfs count="113">
    <xf numFmtId="164" fontId="0" fillId="0" borderId="0" xfId="0"/>
    <xf numFmtId="0" fontId="31" fillId="0" borderId="12" xfId="0" applyNumberFormat="1" applyFont="1" applyBorder="1"/>
    <xf numFmtId="0" fontId="0" fillId="0" borderId="12" xfId="0" applyNumberFormat="1" applyBorder="1"/>
    <xf numFmtId="0" fontId="0" fillId="34" borderId="12" xfId="0" applyNumberFormat="1" applyFill="1" applyBorder="1" applyAlignment="1">
      <alignment horizontal="right"/>
    </xf>
    <xf numFmtId="0" fontId="42" fillId="41" borderId="12" xfId="0" applyNumberFormat="1" applyFont="1" applyFill="1" applyBorder="1"/>
    <xf numFmtId="0" fontId="31" fillId="0" borderId="12" xfId="0" applyNumberFormat="1" applyFont="1" applyBorder="1" applyAlignment="1">
      <alignment vertical="center" wrapText="1"/>
    </xf>
    <xf numFmtId="0" fontId="32" fillId="34" borderId="12" xfId="130" applyNumberFormat="1" applyFont="1" applyFill="1" applyBorder="1" applyAlignment="1">
      <alignment wrapText="1"/>
    </xf>
    <xf numFmtId="0" fontId="30" fillId="35" borderId="12" xfId="0" applyNumberFormat="1" applyFont="1" applyFill="1" applyBorder="1" applyAlignment="1">
      <alignment horizontal="right"/>
    </xf>
    <xf numFmtId="0" fontId="32" fillId="34" borderId="12" xfId="0" applyNumberFormat="1" applyFont="1" applyFill="1" applyBorder="1" applyAlignment="1">
      <alignment horizontal="left"/>
    </xf>
    <xf numFmtId="0" fontId="0" fillId="35" borderId="12" xfId="0" applyNumberFormat="1" applyFill="1" applyBorder="1"/>
    <xf numFmtId="0" fontId="38" fillId="34" borderId="12" xfId="0" applyNumberFormat="1" applyFont="1" applyFill="1" applyBorder="1" applyAlignment="1">
      <alignment horizontal="right"/>
    </xf>
    <xf numFmtId="0" fontId="43" fillId="35" borderId="12" xfId="0" applyNumberFormat="1" applyFont="1" applyFill="1" applyBorder="1" applyAlignment="1">
      <alignment horizontal="right"/>
    </xf>
    <xf numFmtId="0" fontId="1" fillId="34" borderId="12" xfId="0" applyNumberFormat="1" applyFont="1" applyFill="1" applyBorder="1" applyAlignment="1">
      <alignment horizontal="right"/>
    </xf>
    <xf numFmtId="0" fontId="41" fillId="34" borderId="12" xfId="0" applyNumberFormat="1" applyFont="1" applyFill="1" applyBorder="1" applyAlignment="1">
      <alignment horizontal="left"/>
    </xf>
    <xf numFmtId="0" fontId="32" fillId="0" borderId="12" xfId="0" applyNumberFormat="1" applyFont="1" applyBorder="1"/>
    <xf numFmtId="0" fontId="0" fillId="0" borderId="12" xfId="0" applyNumberFormat="1" applyBorder="1" applyAlignment="1">
      <alignment horizontal="right"/>
    </xf>
    <xf numFmtId="0" fontId="30" fillId="0" borderId="12" xfId="0" applyNumberFormat="1" applyFont="1" applyBorder="1"/>
    <xf numFmtId="0" fontId="35" fillId="0" borderId="12" xfId="0" applyNumberFormat="1" applyFont="1" applyBorder="1"/>
    <xf numFmtId="0" fontId="0" fillId="41" borderId="12" xfId="0" applyNumberFormat="1" applyFill="1" applyBorder="1"/>
    <xf numFmtId="0" fontId="0" fillId="35" borderId="12" xfId="0" applyNumberFormat="1" applyFill="1" applyBorder="1" applyAlignment="1">
      <alignment horizontal="right"/>
    </xf>
    <xf numFmtId="0" fontId="19" fillId="42" borderId="12" xfId="50" applyNumberFormat="1" applyFont="1" applyFill="1" applyBorder="1" applyAlignment="1">
      <alignment horizontal="center"/>
    </xf>
    <xf numFmtId="0" fontId="19" fillId="42" borderId="12" xfId="0" applyNumberFormat="1" applyFont="1" applyFill="1" applyBorder="1" applyAlignment="1">
      <alignment horizontal="center"/>
    </xf>
    <xf numFmtId="0" fontId="29" fillId="42" borderId="12" xfId="0" applyNumberFormat="1" applyFont="1" applyFill="1" applyBorder="1"/>
    <xf numFmtId="0" fontId="42" fillId="0" borderId="12" xfId="0" applyNumberFormat="1" applyFont="1" applyBorder="1"/>
    <xf numFmtId="0" fontId="29" fillId="0" borderId="12" xfId="0" applyNumberFormat="1" applyFont="1" applyBorder="1"/>
    <xf numFmtId="0" fontId="37" fillId="0" borderId="12" xfId="3" applyNumberFormat="1" applyFont="1" applyFill="1" applyBorder="1" applyAlignment="1" applyProtection="1">
      <alignment horizontal="right"/>
    </xf>
    <xf numFmtId="0" fontId="42" fillId="0" borderId="12" xfId="0" applyNumberFormat="1" applyFont="1" applyBorder="1" applyAlignment="1">
      <alignment horizontal="right"/>
    </xf>
    <xf numFmtId="0" fontId="39" fillId="42" borderId="12" xfId="0" applyNumberFormat="1" applyFont="1" applyFill="1" applyBorder="1" applyAlignment="1">
      <alignment horizontal="center"/>
    </xf>
    <xf numFmtId="0" fontId="1" fillId="42" borderId="12" xfId="50" applyNumberFormat="1" applyFont="1" applyFill="1" applyBorder="1" applyAlignment="1">
      <alignment horizontal="center"/>
    </xf>
    <xf numFmtId="0" fontId="34" fillId="42" borderId="12" xfId="0" applyNumberFormat="1" applyFont="1" applyFill="1" applyBorder="1" applyAlignment="1">
      <alignment horizontal="center"/>
    </xf>
    <xf numFmtId="0" fontId="51" fillId="35" borderId="12" xfId="3" applyNumberFormat="1" applyFont="1" applyFill="1" applyBorder="1" applyAlignment="1" applyProtection="1">
      <alignment horizontal="right"/>
    </xf>
    <xf numFmtId="0" fontId="45" fillId="0" borderId="12" xfId="3" applyNumberFormat="1" applyFont="1" applyFill="1" applyBorder="1" applyAlignment="1" applyProtection="1">
      <alignment horizontal="right"/>
    </xf>
    <xf numFmtId="0" fontId="47" fillId="0" borderId="12" xfId="3" applyNumberFormat="1" applyFont="1" applyFill="1" applyBorder="1" applyAlignment="1" applyProtection="1">
      <alignment horizontal="left"/>
    </xf>
    <xf numFmtId="0" fontId="47" fillId="0" borderId="12" xfId="3" applyNumberFormat="1" applyFont="1" applyFill="1" applyBorder="1" applyAlignment="1" applyProtection="1"/>
    <xf numFmtId="0" fontId="51" fillId="35" borderId="12" xfId="159" applyNumberFormat="1" applyFont="1" applyFill="1" applyBorder="1" applyAlignment="1" applyProtection="1">
      <alignment horizontal="right"/>
    </xf>
    <xf numFmtId="0" fontId="44" fillId="0" borderId="12" xfId="0" applyNumberFormat="1" applyFont="1" applyBorder="1" applyAlignment="1">
      <alignment horizontal="right"/>
    </xf>
    <xf numFmtId="0" fontId="0" fillId="0" borderId="12" xfId="0" applyNumberFormat="1" applyBorder="1" applyAlignment="1">
      <alignment horizontal="center"/>
    </xf>
    <xf numFmtId="0" fontId="46" fillId="0" borderId="12" xfId="0" applyNumberFormat="1" applyFont="1" applyBorder="1"/>
    <xf numFmtId="0" fontId="48" fillId="0" borderId="12" xfId="0" applyNumberFormat="1" applyFont="1" applyBorder="1" applyAlignment="1">
      <alignment horizontal="right"/>
    </xf>
    <xf numFmtId="0" fontId="49" fillId="0" borderId="12" xfId="0" applyNumberFormat="1" applyFont="1" applyBorder="1" applyAlignment="1">
      <alignment horizontal="right"/>
    </xf>
    <xf numFmtId="0" fontId="48" fillId="0" borderId="12" xfId="0" applyNumberFormat="1" applyFont="1" applyBorder="1"/>
    <xf numFmtId="0" fontId="50" fillId="0" borderId="12" xfId="0" applyNumberFormat="1" applyFont="1" applyBorder="1" applyAlignment="1">
      <alignment horizontal="right"/>
    </xf>
    <xf numFmtId="0" fontId="52" fillId="0" borderId="12" xfId="0" applyNumberFormat="1" applyFont="1" applyBorder="1" applyAlignment="1">
      <alignment horizontal="right"/>
    </xf>
    <xf numFmtId="0" fontId="53" fillId="0" borderId="12" xfId="0" applyNumberFormat="1" applyFont="1" applyBorder="1" applyAlignment="1">
      <alignment horizontal="right"/>
    </xf>
    <xf numFmtId="0" fontId="52" fillId="0" borderId="12" xfId="0" applyNumberFormat="1" applyFont="1" applyBorder="1"/>
    <xf numFmtId="0" fontId="46" fillId="44" borderId="12" xfId="0" applyNumberFormat="1" applyFont="1" applyFill="1" applyBorder="1" applyAlignment="1">
      <alignment horizontal="left"/>
    </xf>
    <xf numFmtId="0" fontId="15" fillId="45" borderId="12" xfId="0" applyNumberFormat="1" applyFont="1" applyFill="1" applyBorder="1" applyAlignment="1">
      <alignment horizontal="center"/>
    </xf>
    <xf numFmtId="0" fontId="36" fillId="45" borderId="12" xfId="0" applyNumberFormat="1" applyFont="1" applyFill="1" applyBorder="1" applyAlignment="1">
      <alignment horizontal="center"/>
    </xf>
    <xf numFmtId="0" fontId="33" fillId="40" borderId="12" xfId="0" applyNumberFormat="1" applyFont="1" applyFill="1" applyBorder="1" applyAlignment="1">
      <alignment horizontal="center"/>
    </xf>
    <xf numFmtId="0" fontId="36" fillId="43" borderId="12" xfId="0" applyNumberFormat="1" applyFont="1" applyFill="1" applyBorder="1" applyAlignment="1">
      <alignment horizontal="center"/>
    </xf>
    <xf numFmtId="0" fontId="33" fillId="33" borderId="12" xfId="0" applyNumberFormat="1" applyFont="1" applyFill="1" applyBorder="1" applyAlignment="1">
      <alignment horizontal="center"/>
    </xf>
    <xf numFmtId="0" fontId="33" fillId="36" borderId="12" xfId="0" applyNumberFormat="1" applyFont="1" applyFill="1" applyBorder="1" applyAlignment="1">
      <alignment horizontal="center"/>
    </xf>
    <xf numFmtId="0" fontId="15" fillId="38" borderId="12" xfId="0" applyNumberFormat="1" applyFont="1" applyFill="1" applyBorder="1" applyAlignment="1">
      <alignment horizontal="center"/>
    </xf>
    <xf numFmtId="0" fontId="54" fillId="35" borderId="12" xfId="0" applyNumberFormat="1" applyFont="1" applyFill="1" applyBorder="1" applyAlignment="1">
      <alignment horizontal="right"/>
    </xf>
    <xf numFmtId="0" fontId="51" fillId="42" borderId="12" xfId="3" applyNumberFormat="1" applyFont="1" applyFill="1" applyBorder="1" applyAlignment="1" applyProtection="1">
      <alignment horizontal="right"/>
    </xf>
    <xf numFmtId="0" fontId="54" fillId="42" borderId="12" xfId="0" applyNumberFormat="1" applyFont="1" applyFill="1" applyBorder="1" applyAlignment="1">
      <alignment horizontal="right"/>
    </xf>
    <xf numFmtId="0" fontId="0" fillId="34" borderId="12" xfId="0" applyNumberFormat="1" applyFill="1" applyBorder="1" applyAlignment="1">
      <alignment horizontal="left"/>
    </xf>
    <xf numFmtId="0" fontId="1" fillId="42" borderId="12" xfId="4" applyNumberFormat="1" applyFont="1" applyFill="1" applyBorder="1" applyAlignment="1">
      <alignment horizontal="center"/>
    </xf>
    <xf numFmtId="0" fontId="1" fillId="42" borderId="12" xfId="0" applyNumberFormat="1" applyFont="1" applyFill="1" applyBorder="1" applyAlignment="1">
      <alignment horizontal="center"/>
    </xf>
    <xf numFmtId="0" fontId="34" fillId="42" borderId="12" xfId="50" applyNumberFormat="1" applyFont="1" applyFill="1" applyBorder="1" applyAlignment="1">
      <alignment horizontal="center"/>
    </xf>
    <xf numFmtId="0" fontId="30" fillId="35" borderId="12" xfId="4" applyNumberFormat="1" applyFont="1" applyFill="1" applyBorder="1" applyAlignment="1">
      <alignment horizontal="right"/>
    </xf>
    <xf numFmtId="0" fontId="55" fillId="37" borderId="12" xfId="0" applyNumberFormat="1" applyFont="1" applyFill="1" applyBorder="1" applyAlignment="1">
      <alignment horizontal="right"/>
    </xf>
    <xf numFmtId="0" fontId="55" fillId="37" borderId="12" xfId="4" applyNumberFormat="1" applyFont="1" applyFill="1" applyBorder="1" applyAlignment="1">
      <alignment horizontal="right"/>
    </xf>
    <xf numFmtId="0" fontId="56" fillId="37" borderId="12" xfId="0" applyNumberFormat="1" applyFont="1" applyFill="1" applyBorder="1" applyAlignment="1">
      <alignment horizontal="right"/>
    </xf>
    <xf numFmtId="0" fontId="51" fillId="37" borderId="12" xfId="3" applyNumberFormat="1" applyFont="1" applyFill="1" applyBorder="1" applyAlignment="1" applyProtection="1">
      <alignment horizontal="right"/>
    </xf>
    <xf numFmtId="0" fontId="51" fillId="34" borderId="12" xfId="3" applyNumberFormat="1" applyFont="1" applyFill="1" applyBorder="1" applyAlignment="1" applyProtection="1">
      <alignment horizontal="right"/>
    </xf>
    <xf numFmtId="0" fontId="51" fillId="44" borderId="12" xfId="3" applyNumberFormat="1" applyFont="1" applyFill="1" applyBorder="1" applyAlignment="1" applyProtection="1">
      <alignment horizontal="right"/>
    </xf>
    <xf numFmtId="0" fontId="54" fillId="37" borderId="12" xfId="0" applyNumberFormat="1" applyFont="1" applyFill="1" applyBorder="1" applyAlignment="1">
      <alignment horizontal="right"/>
    </xf>
    <xf numFmtId="164" fontId="44" fillId="39" borderId="12" xfId="0" applyFont="1" applyFill="1" applyBorder="1" applyAlignment="1">
      <alignment horizontal="right"/>
    </xf>
    <xf numFmtId="0" fontId="51" fillId="37" borderId="0" xfId="3" applyNumberFormat="1" applyFont="1" applyFill="1" applyBorder="1" applyAlignment="1" applyProtection="1">
      <alignment horizontal="right"/>
    </xf>
    <xf numFmtId="164" fontId="44" fillId="0" borderId="12" xfId="0" applyFont="1" applyBorder="1" applyAlignment="1">
      <alignment horizontal="right"/>
    </xf>
    <xf numFmtId="0" fontId="0" fillId="0" borderId="0" xfId="0" applyNumberFormat="1"/>
    <xf numFmtId="0" fontId="46" fillId="44" borderId="12" xfId="0" applyNumberFormat="1" applyFont="1" applyFill="1" applyBorder="1"/>
    <xf numFmtId="0" fontId="46" fillId="44" borderId="0" xfId="118" applyNumberFormat="1" applyFont="1" applyFill="1" applyAlignment="1">
      <alignment horizontal="right"/>
    </xf>
    <xf numFmtId="0" fontId="46" fillId="44" borderId="12" xfId="134" applyNumberFormat="1" applyFont="1" applyFill="1" applyBorder="1" applyAlignment="1">
      <alignment horizontal="right"/>
    </xf>
    <xf numFmtId="0" fontId="46" fillId="44" borderId="12" xfId="0" applyNumberFormat="1" applyFont="1" applyFill="1" applyBorder="1" applyAlignment="1">
      <alignment horizontal="right"/>
    </xf>
    <xf numFmtId="0" fontId="46" fillId="44" borderId="12" xfId="118" applyNumberFormat="1" applyFont="1" applyFill="1" applyBorder="1" applyAlignment="1">
      <alignment horizontal="right"/>
    </xf>
    <xf numFmtId="0" fontId="30" fillId="35" borderId="12" xfId="0" applyNumberFormat="1" applyFont="1" applyFill="1" applyBorder="1" applyAlignment="1">
      <alignment horizontal="center"/>
    </xf>
    <xf numFmtId="0" fontId="0" fillId="34" borderId="13" xfId="0" applyNumberFormat="1" applyFill="1" applyBorder="1" applyAlignment="1">
      <alignment horizontal="right"/>
    </xf>
    <xf numFmtId="0" fontId="51" fillId="42" borderId="12" xfId="3" applyNumberFormat="1" applyFont="1" applyFill="1" applyBorder="1" applyAlignment="1" applyProtection="1">
      <alignment horizontal="right" wrapText="1"/>
    </xf>
    <xf numFmtId="0" fontId="0" fillId="34" borderId="12" xfId="130" applyNumberFormat="1" applyFont="1" applyFill="1" applyBorder="1"/>
    <xf numFmtId="0" fontId="32" fillId="34" borderId="12" xfId="130" applyNumberFormat="1" applyFont="1" applyFill="1" applyBorder="1"/>
    <xf numFmtId="0" fontId="32" fillId="34" borderId="12" xfId="0" applyNumberFormat="1" applyFont="1" applyFill="1" applyBorder="1"/>
    <xf numFmtId="0" fontId="0" fillId="34" borderId="12" xfId="0" applyNumberFormat="1" applyFill="1" applyBorder="1"/>
    <xf numFmtId="0" fontId="46" fillId="44" borderId="12" xfId="0" applyNumberFormat="1" applyFont="1" applyFill="1" applyBorder="1" applyAlignment="1">
      <alignment horizontal="center"/>
    </xf>
    <xf numFmtId="0" fontId="46" fillId="44" borderId="12" xfId="0" applyNumberFormat="1" applyFont="1" applyFill="1" applyBorder="1" applyAlignment="1">
      <alignment wrapText="1"/>
    </xf>
    <xf numFmtId="0" fontId="0" fillId="34" borderId="12" xfId="118" applyNumberFormat="1" applyFont="1" applyFill="1" applyBorder="1"/>
    <xf numFmtId="0" fontId="32" fillId="34" borderId="12" xfId="118" applyNumberFormat="1" applyFont="1" applyFill="1" applyBorder="1"/>
    <xf numFmtId="0" fontId="46" fillId="44" borderId="12" xfId="0" applyNumberFormat="1" applyFont="1" applyFill="1" applyBorder="1" applyAlignment="1">
      <alignment horizontal="left" wrapText="1"/>
    </xf>
    <xf numFmtId="164" fontId="0" fillId="34" borderId="12" xfId="0" applyFill="1" applyBorder="1"/>
    <xf numFmtId="164" fontId="40" fillId="34" borderId="12" xfId="0" applyFont="1" applyFill="1" applyBorder="1"/>
    <xf numFmtId="0" fontId="32" fillId="34" borderId="12" xfId="47" applyNumberFormat="1" applyFont="1" applyFill="1" applyBorder="1"/>
    <xf numFmtId="0" fontId="40" fillId="34" borderId="12" xfId="0" applyNumberFormat="1" applyFont="1" applyFill="1" applyBorder="1"/>
    <xf numFmtId="0" fontId="32" fillId="34" borderId="12" xfId="53" applyNumberFormat="1" applyFont="1" applyFill="1" applyBorder="1"/>
    <xf numFmtId="0" fontId="46" fillId="44" borderId="14" xfId="0" applyNumberFormat="1" applyFont="1" applyFill="1" applyBorder="1" applyAlignment="1">
      <alignment horizontal="center"/>
    </xf>
    <xf numFmtId="0" fontId="0" fillId="34" borderId="0" xfId="118" applyNumberFormat="1" applyFont="1" applyFill="1"/>
    <xf numFmtId="0" fontId="32" fillId="34" borderId="0" xfId="118" applyNumberFormat="1" applyFont="1" applyFill="1"/>
    <xf numFmtId="0" fontId="35" fillId="0" borderId="16" xfId="0" applyNumberFormat="1" applyFont="1" applyBorder="1"/>
    <xf numFmtId="0" fontId="31" fillId="0" borderId="12" xfId="0" applyNumberFormat="1" applyFont="1" applyBorder="1" applyAlignment="1">
      <alignment wrapText="1"/>
    </xf>
    <xf numFmtId="0" fontId="51" fillId="35" borderId="12" xfId="3" applyNumberFormat="1" applyFont="1" applyFill="1" applyBorder="1" applyAlignment="1" applyProtection="1">
      <alignment horizontal="right" wrapText="1"/>
    </xf>
    <xf numFmtId="0" fontId="51" fillId="0" borderId="12" xfId="3" applyNumberFormat="1" applyFont="1" applyFill="1" applyBorder="1" applyAlignment="1" applyProtection="1">
      <alignment horizontal="right"/>
    </xf>
    <xf numFmtId="0" fontId="57" fillId="0" borderId="12" xfId="0" applyNumberFormat="1" applyFont="1" applyBorder="1"/>
    <xf numFmtId="0" fontId="44" fillId="0" borderId="12" xfId="0" applyNumberFormat="1" applyFont="1" applyBorder="1"/>
    <xf numFmtId="0" fontId="33" fillId="36" borderId="13" xfId="0" applyNumberFormat="1" applyFont="1" applyFill="1" applyBorder="1" applyAlignment="1">
      <alignment horizontal="center"/>
    </xf>
    <xf numFmtId="0" fontId="33" fillId="36" borderId="14" xfId="0" applyNumberFormat="1" applyFont="1" applyFill="1" applyBorder="1" applyAlignment="1">
      <alignment horizontal="center"/>
    </xf>
    <xf numFmtId="0" fontId="33" fillId="33" borderId="13" xfId="0" applyNumberFormat="1" applyFont="1" applyFill="1" applyBorder="1" applyAlignment="1">
      <alignment horizontal="center"/>
    </xf>
    <xf numFmtId="0" fontId="33" fillId="33" borderId="15" xfId="0" applyNumberFormat="1" applyFont="1" applyFill="1" applyBorder="1" applyAlignment="1">
      <alignment horizontal="center"/>
    </xf>
    <xf numFmtId="0" fontId="33" fillId="33" borderId="14" xfId="0" applyNumberFormat="1" applyFont="1" applyFill="1" applyBorder="1" applyAlignment="1">
      <alignment horizontal="center"/>
    </xf>
    <xf numFmtId="0" fontId="15" fillId="38" borderId="13" xfId="0" applyNumberFormat="1" applyFont="1" applyFill="1" applyBorder="1" applyAlignment="1">
      <alignment horizontal="center"/>
    </xf>
    <xf numFmtId="0" fontId="15" fillId="38" borderId="14" xfId="0" applyNumberFormat="1" applyFont="1" applyFill="1" applyBorder="1" applyAlignment="1">
      <alignment horizontal="center"/>
    </xf>
    <xf numFmtId="1" fontId="58" fillId="42" borderId="12" xfId="3" applyNumberFormat="1" applyFont="1" applyFill="1" applyBorder="1" applyAlignment="1" applyProtection="1">
      <alignment horizontal="right"/>
    </xf>
    <xf numFmtId="0" fontId="58" fillId="35" borderId="12" xfId="0" applyNumberFormat="1" applyFont="1" applyFill="1" applyBorder="1" applyAlignment="1">
      <alignment horizontal="right"/>
    </xf>
    <xf numFmtId="0" fontId="58" fillId="35" borderId="12" xfId="3" applyNumberFormat="1" applyFont="1" applyFill="1" applyBorder="1" applyAlignment="1" applyProtection="1">
      <alignment horizontal="right"/>
    </xf>
  </cellXfs>
  <cellStyles count="205">
    <cellStyle name="20% - Accent1" xfId="180" builtinId="30" customBuiltin="1"/>
    <cellStyle name="20% - Accent1 2" xfId="23" xr:uid="{00000000-0005-0000-0000-000001000000}"/>
    <cellStyle name="20% - Accent2" xfId="184" builtinId="34" customBuiltin="1"/>
    <cellStyle name="20% - Accent2 2" xfId="27" xr:uid="{00000000-0005-0000-0000-000003000000}"/>
    <cellStyle name="20% - Accent3" xfId="188" builtinId="38" customBuiltin="1"/>
    <cellStyle name="20% - Accent3 2" xfId="31" xr:uid="{00000000-0005-0000-0000-000005000000}"/>
    <cellStyle name="20% - Accent4" xfId="192" builtinId="42" customBuiltin="1"/>
    <cellStyle name="20% - Accent4 2" xfId="35" xr:uid="{00000000-0005-0000-0000-000007000000}"/>
    <cellStyle name="20% - Accent5" xfId="196" builtinId="46" customBuiltin="1"/>
    <cellStyle name="20% - Accent5 2" xfId="39" xr:uid="{00000000-0005-0000-0000-000009000000}"/>
    <cellStyle name="20% - Accent6" xfId="200" builtinId="50" customBuiltin="1"/>
    <cellStyle name="20% - Accent6 2" xfId="43" xr:uid="{00000000-0005-0000-0000-00000B000000}"/>
    <cellStyle name="40% - Accent1" xfId="181" builtinId="31" customBuiltin="1"/>
    <cellStyle name="40% - Accent1 2" xfId="24" xr:uid="{00000000-0005-0000-0000-00000D000000}"/>
    <cellStyle name="40% - Accent2" xfId="185" builtinId="35" customBuiltin="1"/>
    <cellStyle name="40% - Accent2 2" xfId="28" xr:uid="{00000000-0005-0000-0000-00000F000000}"/>
    <cellStyle name="40% - Accent3" xfId="189" builtinId="39" customBuiltin="1"/>
    <cellStyle name="40% - Accent3 2" xfId="32" xr:uid="{00000000-0005-0000-0000-000011000000}"/>
    <cellStyle name="40% - Accent4" xfId="193" builtinId="43" customBuiltin="1"/>
    <cellStyle name="40% - Accent4 2" xfId="36" xr:uid="{00000000-0005-0000-0000-000013000000}"/>
    <cellStyle name="40% - Accent5" xfId="197" builtinId="47" customBuiltin="1"/>
    <cellStyle name="40% - Accent5 2" xfId="40" xr:uid="{00000000-0005-0000-0000-000015000000}"/>
    <cellStyle name="40% - Accent6" xfId="201" builtinId="51" customBuiltin="1"/>
    <cellStyle name="40% - Accent6 2" xfId="44" xr:uid="{00000000-0005-0000-0000-000017000000}"/>
    <cellStyle name="60% - Accent1" xfId="182" builtinId="32" customBuiltin="1"/>
    <cellStyle name="60% - Accent1 2" xfId="25" xr:uid="{00000000-0005-0000-0000-000019000000}"/>
    <cellStyle name="60% - Accent2" xfId="186" builtinId="36" customBuiltin="1"/>
    <cellStyle name="60% - Accent2 2" xfId="29" xr:uid="{00000000-0005-0000-0000-00001B000000}"/>
    <cellStyle name="60% - Accent3" xfId="190" builtinId="40" customBuiltin="1"/>
    <cellStyle name="60% - Accent3 2" xfId="33" xr:uid="{00000000-0005-0000-0000-00001D000000}"/>
    <cellStyle name="60% - Accent4" xfId="194" builtinId="44" customBuiltin="1"/>
    <cellStyle name="60% - Accent4 2" xfId="37" xr:uid="{00000000-0005-0000-0000-00001F000000}"/>
    <cellStyle name="60% - Accent5" xfId="198" builtinId="48" customBuiltin="1"/>
    <cellStyle name="60% - Accent5 2" xfId="41" xr:uid="{00000000-0005-0000-0000-000021000000}"/>
    <cellStyle name="60% - Accent6" xfId="202" builtinId="52" customBuiltin="1"/>
    <cellStyle name="60% - Accent6 2" xfId="45" xr:uid="{00000000-0005-0000-0000-000023000000}"/>
    <cellStyle name="Accent1" xfId="179" builtinId="29" customBuiltin="1"/>
    <cellStyle name="Accent1 2" xfId="22" xr:uid="{00000000-0005-0000-0000-000025000000}"/>
    <cellStyle name="Accent2" xfId="183" builtinId="33" customBuiltin="1"/>
    <cellStyle name="Accent2 2" xfId="26" xr:uid="{00000000-0005-0000-0000-000027000000}"/>
    <cellStyle name="Accent3" xfId="187" builtinId="37" customBuiltin="1"/>
    <cellStyle name="Accent3 2" xfId="30" xr:uid="{00000000-0005-0000-0000-000029000000}"/>
    <cellStyle name="Accent4" xfId="191" builtinId="41" customBuiltin="1"/>
    <cellStyle name="Accent4 2" xfId="34" xr:uid="{00000000-0005-0000-0000-00002B000000}"/>
    <cellStyle name="Accent5" xfId="195" builtinId="45" customBuiltin="1"/>
    <cellStyle name="Accent5 2" xfId="38" xr:uid="{00000000-0005-0000-0000-00002D000000}"/>
    <cellStyle name="Accent6" xfId="199" builtinId="49" customBuiltin="1"/>
    <cellStyle name="Accent6 2" xfId="42" xr:uid="{00000000-0005-0000-0000-00002F000000}"/>
    <cellStyle name="Bad" xfId="168" builtinId="27" customBuiltin="1"/>
    <cellStyle name="Bad 2" xfId="11" xr:uid="{00000000-0005-0000-0000-000031000000}"/>
    <cellStyle name="Calculation" xfId="172" builtinId="22" customBuiltin="1"/>
    <cellStyle name="Calculation 2" xfId="15" xr:uid="{00000000-0005-0000-0000-000033000000}"/>
    <cellStyle name="Check Cell" xfId="174" builtinId="23" customBuiltin="1"/>
    <cellStyle name="Check Cell 2" xfId="17" xr:uid="{00000000-0005-0000-0000-000035000000}"/>
    <cellStyle name="Explanatory Text" xfId="177" builtinId="53" customBuiltin="1"/>
    <cellStyle name="Explanatory Text 2" xfId="20" xr:uid="{00000000-0005-0000-0000-000037000000}"/>
    <cellStyle name="Good" xfId="167" builtinId="26" customBuiltin="1"/>
    <cellStyle name="Good 2" xfId="10" xr:uid="{00000000-0005-0000-0000-000039000000}"/>
    <cellStyle name="Heading 1" xfId="163" builtinId="16" customBuiltin="1"/>
    <cellStyle name="Heading 1 2" xfId="6" xr:uid="{00000000-0005-0000-0000-00003B000000}"/>
    <cellStyle name="Heading 2" xfId="164" builtinId="17" customBuiltin="1"/>
    <cellStyle name="Heading 2 2" xfId="7" xr:uid="{00000000-0005-0000-0000-00003D000000}"/>
    <cellStyle name="Heading 3" xfId="165" builtinId="18" customBuiltin="1"/>
    <cellStyle name="Heading 3 2" xfId="8" xr:uid="{00000000-0005-0000-0000-00003F000000}"/>
    <cellStyle name="Heading 4" xfId="166" builtinId="19" customBuiltin="1"/>
    <cellStyle name="Heading 4 2" xfId="9" xr:uid="{00000000-0005-0000-0000-000041000000}"/>
    <cellStyle name="Hyperlink" xfId="3" builtinId="8"/>
    <cellStyle name="Hyperlink 2" xfId="52" xr:uid="{00000000-0005-0000-0000-000043000000}"/>
    <cellStyle name="Hyperlink 2 2" xfId="54" xr:uid="{00000000-0005-0000-0000-000044000000}"/>
    <cellStyle name="Hyperlink 2 3" xfId="159" xr:uid="{00000000-0005-0000-0000-000045000000}"/>
    <cellStyle name="Hyperlink 3" xfId="49" xr:uid="{00000000-0005-0000-0000-000046000000}"/>
    <cellStyle name="Hyperlink 3 2" xfId="161" xr:uid="{00000000-0005-0000-0000-000047000000}"/>
    <cellStyle name="Hyperlink 4" xfId="63" xr:uid="{00000000-0005-0000-0000-000048000000}"/>
    <cellStyle name="Hyperlink 4 2" xfId="88" xr:uid="{00000000-0005-0000-0000-000049000000}"/>
    <cellStyle name="Hyperlink 5" xfId="119" xr:uid="{00000000-0005-0000-0000-00004A000000}"/>
    <cellStyle name="Hyperlink 6" xfId="158" xr:uid="{00000000-0005-0000-0000-00004B000000}"/>
    <cellStyle name="Input" xfId="170" builtinId="20" customBuiltin="1"/>
    <cellStyle name="Input 2" xfId="13" xr:uid="{00000000-0005-0000-0000-00004D000000}"/>
    <cellStyle name="Linked Cell" xfId="173" builtinId="24" customBuiltin="1"/>
    <cellStyle name="Linked Cell 2" xfId="16" xr:uid="{00000000-0005-0000-0000-00004F000000}"/>
    <cellStyle name="Neutral" xfId="169" builtinId="28" customBuiltin="1"/>
    <cellStyle name="Neutral 2" xfId="12" xr:uid="{00000000-0005-0000-0000-000051000000}"/>
    <cellStyle name="Normal" xfId="0" builtinId="0"/>
    <cellStyle name="Normal 10" xfId="73" xr:uid="{00000000-0005-0000-0000-000053000000}"/>
    <cellStyle name="Normal 10 2" xfId="95" xr:uid="{00000000-0005-0000-0000-000054000000}"/>
    <cellStyle name="Normal 11" xfId="64" xr:uid="{00000000-0005-0000-0000-000055000000}"/>
    <cellStyle name="Normal 11 2" xfId="89" xr:uid="{00000000-0005-0000-0000-000056000000}"/>
    <cellStyle name="Normal 12" xfId="78" xr:uid="{00000000-0005-0000-0000-000057000000}"/>
    <cellStyle name="Normal 12 2" xfId="97" xr:uid="{00000000-0005-0000-0000-000058000000}"/>
    <cellStyle name="Normal 13" xfId="67" xr:uid="{00000000-0005-0000-0000-000059000000}"/>
    <cellStyle name="Normal 13 2" xfId="91" xr:uid="{00000000-0005-0000-0000-00005A000000}"/>
    <cellStyle name="Normal 14" xfId="79" xr:uid="{00000000-0005-0000-0000-00005B000000}"/>
    <cellStyle name="Normal 14 2" xfId="98" xr:uid="{00000000-0005-0000-0000-00005C000000}"/>
    <cellStyle name="Normal 15" xfId="80" xr:uid="{00000000-0005-0000-0000-00005D000000}"/>
    <cellStyle name="Normal 15 2" xfId="99" xr:uid="{00000000-0005-0000-0000-00005E000000}"/>
    <cellStyle name="Normal 16" xfId="76" xr:uid="{00000000-0005-0000-0000-00005F000000}"/>
    <cellStyle name="Normal 16 2" xfId="96" xr:uid="{00000000-0005-0000-0000-000060000000}"/>
    <cellStyle name="Normal 17" xfId="66" xr:uid="{00000000-0005-0000-0000-000061000000}"/>
    <cellStyle name="Normal 17 2" xfId="90" xr:uid="{00000000-0005-0000-0000-000062000000}"/>
    <cellStyle name="Normal 18" xfId="65" xr:uid="{00000000-0005-0000-0000-000063000000}"/>
    <cellStyle name="Normal 18 2" xfId="101" xr:uid="{00000000-0005-0000-0000-000064000000}"/>
    <cellStyle name="Normal 19" xfId="62" xr:uid="{00000000-0005-0000-0000-000065000000}"/>
    <cellStyle name="Normal 19 2" xfId="100" xr:uid="{00000000-0005-0000-0000-000066000000}"/>
    <cellStyle name="Normal 2" xfId="4" xr:uid="{00000000-0005-0000-0000-000067000000}"/>
    <cellStyle name="Normal 2 2" xfId="2" xr:uid="{00000000-0005-0000-0000-000068000000}"/>
    <cellStyle name="Normal 2 2 2" xfId="50" xr:uid="{00000000-0005-0000-0000-000069000000}"/>
    <cellStyle name="Normal 2 2 3" xfId="56" xr:uid="{00000000-0005-0000-0000-00006A000000}"/>
    <cellStyle name="Normal 2 3" xfId="51" xr:uid="{00000000-0005-0000-0000-00006B000000}"/>
    <cellStyle name="Normal 2 3 2" xfId="57" xr:uid="{00000000-0005-0000-0000-00006C000000}"/>
    <cellStyle name="Normal 2 4" xfId="46" xr:uid="{00000000-0005-0000-0000-00006D000000}"/>
    <cellStyle name="Normal 2 5" xfId="55" xr:uid="{00000000-0005-0000-0000-00006E000000}"/>
    <cellStyle name="Normal 2 6" xfId="149" xr:uid="{00000000-0005-0000-0000-00006F000000}"/>
    <cellStyle name="Normal 20" xfId="86" xr:uid="{00000000-0005-0000-0000-000070000000}"/>
    <cellStyle name="Normal 20 2" xfId="112" xr:uid="{00000000-0005-0000-0000-000071000000}"/>
    <cellStyle name="Normal 21" xfId="83" xr:uid="{00000000-0005-0000-0000-000072000000}"/>
    <cellStyle name="Normal 21 2" xfId="109" xr:uid="{00000000-0005-0000-0000-000073000000}"/>
    <cellStyle name="Normal 22" xfId="82" xr:uid="{00000000-0005-0000-0000-000074000000}"/>
    <cellStyle name="Normal 22 2" xfId="108" xr:uid="{00000000-0005-0000-0000-000075000000}"/>
    <cellStyle name="Normal 23" xfId="85" xr:uid="{00000000-0005-0000-0000-000076000000}"/>
    <cellStyle name="Normal 23 2" xfId="111" xr:uid="{00000000-0005-0000-0000-000077000000}"/>
    <cellStyle name="Normal 24" xfId="72" xr:uid="{00000000-0005-0000-0000-000078000000}"/>
    <cellStyle name="Normal 24 2" xfId="103" xr:uid="{00000000-0005-0000-0000-000079000000}"/>
    <cellStyle name="Normal 25" xfId="75" xr:uid="{00000000-0005-0000-0000-00007A000000}"/>
    <cellStyle name="Normal 25 2" xfId="105" xr:uid="{00000000-0005-0000-0000-00007B000000}"/>
    <cellStyle name="Normal 26" xfId="84" xr:uid="{00000000-0005-0000-0000-00007C000000}"/>
    <cellStyle name="Normal 26 2" xfId="110" xr:uid="{00000000-0005-0000-0000-00007D000000}"/>
    <cellStyle name="Normal 27" xfId="77" xr:uid="{00000000-0005-0000-0000-00007E000000}"/>
    <cellStyle name="Normal 27 2" xfId="106" xr:uid="{00000000-0005-0000-0000-00007F000000}"/>
    <cellStyle name="Normal 28" xfId="74" xr:uid="{00000000-0005-0000-0000-000080000000}"/>
    <cellStyle name="Normal 28 2" xfId="104" xr:uid="{00000000-0005-0000-0000-000081000000}"/>
    <cellStyle name="Normal 29" xfId="71" xr:uid="{00000000-0005-0000-0000-000082000000}"/>
    <cellStyle name="Normal 29 2" xfId="102" xr:uid="{00000000-0005-0000-0000-000083000000}"/>
    <cellStyle name="Normal 3" xfId="48" xr:uid="{00000000-0005-0000-0000-000084000000}"/>
    <cellStyle name="Normal 3 2" xfId="47" xr:uid="{00000000-0005-0000-0000-000085000000}"/>
    <cellStyle name="Normal 3 3" xfId="58" xr:uid="{00000000-0005-0000-0000-000086000000}"/>
    <cellStyle name="Normal 30" xfId="81" xr:uid="{00000000-0005-0000-0000-000087000000}"/>
    <cellStyle name="Normal 30 2" xfId="107" xr:uid="{00000000-0005-0000-0000-000088000000}"/>
    <cellStyle name="Normal 31" xfId="1" xr:uid="{00000000-0005-0000-0000-000089000000}"/>
    <cellStyle name="Normal 32" xfId="113" xr:uid="{00000000-0005-0000-0000-00008A000000}"/>
    <cellStyle name="Normal 33" xfId="117" xr:uid="{00000000-0005-0000-0000-00008B000000}"/>
    <cellStyle name="Normal 34" xfId="116" xr:uid="{00000000-0005-0000-0000-00008C000000}"/>
    <cellStyle name="Normal 35" xfId="118" xr:uid="{00000000-0005-0000-0000-00008D000000}"/>
    <cellStyle name="Normal 36" xfId="120" xr:uid="{00000000-0005-0000-0000-00008E000000}"/>
    <cellStyle name="Normal 37" xfId="130" xr:uid="{00000000-0005-0000-0000-00008F000000}"/>
    <cellStyle name="Normal 38" xfId="122" xr:uid="{00000000-0005-0000-0000-000090000000}"/>
    <cellStyle name="Normal 39" xfId="131" xr:uid="{00000000-0005-0000-0000-000091000000}"/>
    <cellStyle name="Normal 4" xfId="53" xr:uid="{00000000-0005-0000-0000-000092000000}"/>
    <cellStyle name="Normal 4 2" xfId="160" xr:uid="{00000000-0005-0000-0000-000093000000}"/>
    <cellStyle name="Normal 40" xfId="134" xr:uid="{00000000-0005-0000-0000-000094000000}"/>
    <cellStyle name="Normal 41" xfId="124" xr:uid="{00000000-0005-0000-0000-000095000000}"/>
    <cellStyle name="Normal 42" xfId="128" xr:uid="{00000000-0005-0000-0000-000096000000}"/>
    <cellStyle name="Normal 43" xfId="127" xr:uid="{00000000-0005-0000-0000-000097000000}"/>
    <cellStyle name="Normal 44" xfId="133" xr:uid="{00000000-0005-0000-0000-000098000000}"/>
    <cellStyle name="Normal 45" xfId="121" xr:uid="{00000000-0005-0000-0000-000099000000}"/>
    <cellStyle name="Normal 46" xfId="141" xr:uid="{00000000-0005-0000-0000-00009A000000}"/>
    <cellStyle name="Normal 47" xfId="140" xr:uid="{00000000-0005-0000-0000-00009B000000}"/>
    <cellStyle name="Normal 48" xfId="138" xr:uid="{00000000-0005-0000-0000-00009C000000}"/>
    <cellStyle name="Normal 49" xfId="114" xr:uid="{00000000-0005-0000-0000-00009D000000}"/>
    <cellStyle name="Normal 5" xfId="59" xr:uid="{00000000-0005-0000-0000-00009E000000}"/>
    <cellStyle name="Normal 5 2" xfId="60" xr:uid="{00000000-0005-0000-0000-00009F000000}"/>
    <cellStyle name="Normal 50" xfId="125" xr:uid="{00000000-0005-0000-0000-0000A0000000}"/>
    <cellStyle name="Normal 51" xfId="135" xr:uid="{00000000-0005-0000-0000-0000A1000000}"/>
    <cellStyle name="Normal 52" xfId="143" xr:uid="{00000000-0005-0000-0000-0000A2000000}"/>
    <cellStyle name="Normal 53" xfId="144" xr:uid="{00000000-0005-0000-0000-0000A3000000}"/>
    <cellStyle name="Normal 54" xfId="139" xr:uid="{00000000-0005-0000-0000-0000A4000000}"/>
    <cellStyle name="Normal 55" xfId="136" xr:uid="{00000000-0005-0000-0000-0000A5000000}"/>
    <cellStyle name="Normal 56" xfId="115" xr:uid="{00000000-0005-0000-0000-0000A6000000}"/>
    <cellStyle name="Normal 57" xfId="146" xr:uid="{00000000-0005-0000-0000-0000A7000000}"/>
    <cellStyle name="Normal 58" xfId="148" xr:uid="{00000000-0005-0000-0000-0000A8000000}"/>
    <cellStyle name="Normal 59" xfId="142" xr:uid="{00000000-0005-0000-0000-0000A9000000}"/>
    <cellStyle name="Normal 6" xfId="61" xr:uid="{00000000-0005-0000-0000-0000AA000000}"/>
    <cellStyle name="Normal 6 2" xfId="87" xr:uid="{00000000-0005-0000-0000-0000AB000000}"/>
    <cellStyle name="Normal 60" xfId="129" xr:uid="{00000000-0005-0000-0000-0000AC000000}"/>
    <cellStyle name="Normal 61" xfId="126" xr:uid="{00000000-0005-0000-0000-0000AD000000}"/>
    <cellStyle name="Normal 62" xfId="147" xr:uid="{00000000-0005-0000-0000-0000AE000000}"/>
    <cellStyle name="Normal 63" xfId="137" xr:uid="{00000000-0005-0000-0000-0000AF000000}"/>
    <cellStyle name="Normal 64" xfId="132" xr:uid="{00000000-0005-0000-0000-0000B0000000}"/>
    <cellStyle name="Normal 65" xfId="123" xr:uid="{00000000-0005-0000-0000-0000B1000000}"/>
    <cellStyle name="Normal 66" xfId="145" xr:uid="{00000000-0005-0000-0000-0000B2000000}"/>
    <cellStyle name="Normal 67" xfId="150" xr:uid="{00000000-0005-0000-0000-0000B3000000}"/>
    <cellStyle name="Normal 68" xfId="152" xr:uid="{00000000-0005-0000-0000-0000B4000000}"/>
    <cellStyle name="Normal 69" xfId="151" xr:uid="{00000000-0005-0000-0000-0000B5000000}"/>
    <cellStyle name="Normal 69 2" xfId="153" xr:uid="{00000000-0005-0000-0000-0000B6000000}"/>
    <cellStyle name="Normal 7" xfId="68" xr:uid="{00000000-0005-0000-0000-0000B7000000}"/>
    <cellStyle name="Normal 7 2" xfId="92" xr:uid="{00000000-0005-0000-0000-0000B8000000}"/>
    <cellStyle name="Normal 70" xfId="154" xr:uid="{00000000-0005-0000-0000-0000B9000000}"/>
    <cellStyle name="Normal 71" xfId="155" xr:uid="{00000000-0005-0000-0000-0000BA000000}"/>
    <cellStyle name="Normal 72" xfId="156" xr:uid="{00000000-0005-0000-0000-0000BB000000}"/>
    <cellStyle name="Normal 72 2" xfId="157" xr:uid="{00000000-0005-0000-0000-0000BC000000}"/>
    <cellStyle name="Normal 73" xfId="203" xr:uid="{00000000-0005-0000-0000-0000BD000000}"/>
    <cellStyle name="Normal 8" xfId="69" xr:uid="{00000000-0005-0000-0000-0000BE000000}"/>
    <cellStyle name="Normal 8 2" xfId="93" xr:uid="{00000000-0005-0000-0000-0000BF000000}"/>
    <cellStyle name="Normal 9" xfId="70" xr:uid="{00000000-0005-0000-0000-0000C0000000}"/>
    <cellStyle name="Normal 9 2" xfId="94" xr:uid="{00000000-0005-0000-0000-0000C1000000}"/>
    <cellStyle name="Note" xfId="176" builtinId="10" customBuiltin="1"/>
    <cellStyle name="Note 2" xfId="19" xr:uid="{00000000-0005-0000-0000-0000C3000000}"/>
    <cellStyle name="Output" xfId="171" builtinId="21" customBuiltin="1"/>
    <cellStyle name="Output 2" xfId="14" xr:uid="{00000000-0005-0000-0000-0000C5000000}"/>
    <cellStyle name="Title" xfId="162" builtinId="15" customBuiltin="1"/>
    <cellStyle name="Title 2" xfId="5" xr:uid="{00000000-0005-0000-0000-0000C7000000}"/>
    <cellStyle name="Title 3" xfId="204" xr:uid="{00000000-0005-0000-0000-0000C8000000}"/>
    <cellStyle name="Total" xfId="178" builtinId="25" customBuiltin="1"/>
    <cellStyle name="Total 2" xfId="21" xr:uid="{00000000-0005-0000-0000-0000CA000000}"/>
    <cellStyle name="Warning Text" xfId="175" builtinId="11" customBuiltin="1"/>
    <cellStyle name="Warning Text 2" xfId="18" xr:uid="{00000000-0005-0000-0000-0000CC00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4"/>
      <tableStyleElement type="headerRow" dxfId="13"/>
    </tableStyle>
  </tableStyles>
  <colors>
    <mruColors>
      <color rgb="FF0033CC"/>
      <color rgb="FFFED7D4"/>
      <color rgb="FFFF5050"/>
      <color rgb="FF009900"/>
      <color rgb="FF33CC33"/>
      <color rgb="FFFA6666"/>
      <color rgb="FF00CC66"/>
      <color rgb="FFFFFF99"/>
      <color rgb="FFFFCC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cbi.nlm.nih.gov/pubmed/26658760" TargetMode="External"/><Relationship Id="rId671" Type="http://schemas.openxmlformats.org/officeDocument/2006/relationships/hyperlink" Target="https://www.ncbi.nlm.nih.gov/pubmed/6300226" TargetMode="External"/><Relationship Id="rId769" Type="http://schemas.openxmlformats.org/officeDocument/2006/relationships/hyperlink" Target="https://www.ncbi.nlm.nih.gov/pubmed/17703419/" TargetMode="External"/><Relationship Id="rId21" Type="http://schemas.openxmlformats.org/officeDocument/2006/relationships/hyperlink" Target="https://www.ncbi.nlm.nih.gov/pubmed/17448935" TargetMode="External"/><Relationship Id="rId324" Type="http://schemas.openxmlformats.org/officeDocument/2006/relationships/hyperlink" Target="https://pubmed.ncbi.nlm.nih.gov/12615306/" TargetMode="External"/><Relationship Id="rId531" Type="http://schemas.openxmlformats.org/officeDocument/2006/relationships/hyperlink" Target="https://www.ncbi.nlm.nih.gov/pubmed/20410900" TargetMode="External"/><Relationship Id="rId629" Type="http://schemas.openxmlformats.org/officeDocument/2006/relationships/hyperlink" Target="https://www.ncbi.nlm.nih.gov/pubmed/22877560" TargetMode="External"/><Relationship Id="rId170" Type="http://schemas.openxmlformats.org/officeDocument/2006/relationships/hyperlink" Target="https://www.ncbi.nlm.nih.gov/pubmed/23597620" TargetMode="External"/><Relationship Id="rId268" Type="http://schemas.openxmlformats.org/officeDocument/2006/relationships/hyperlink" Target="https://www.ncbi.nlm.nih.gov/pubmed/10466973" TargetMode="External"/><Relationship Id="rId475" Type="http://schemas.openxmlformats.org/officeDocument/2006/relationships/hyperlink" Target="https://www.ncbi.nlm.nih.gov/pubmed/16318717/" TargetMode="External"/><Relationship Id="rId682" Type="http://schemas.openxmlformats.org/officeDocument/2006/relationships/hyperlink" Target="https://www.ncbi.nlm.nih.gov/pubmed/23155478" TargetMode="External"/><Relationship Id="rId32" Type="http://schemas.openxmlformats.org/officeDocument/2006/relationships/hyperlink" Target="https://www.ncbi.nlm.nih.gov/pubmed/4381558" TargetMode="External"/><Relationship Id="rId128" Type="http://schemas.openxmlformats.org/officeDocument/2006/relationships/hyperlink" Target="https://www.ncbi.nlm.nih.gov/pubmed/19651164" TargetMode="External"/><Relationship Id="rId335" Type="http://schemas.openxmlformats.org/officeDocument/2006/relationships/hyperlink" Target="https://www.ncbi.nlm.nih.gov/pubmed/?term=21345956" TargetMode="External"/><Relationship Id="rId542" Type="http://schemas.openxmlformats.org/officeDocument/2006/relationships/hyperlink" Target="https://www.ncbi.nlm.nih.gov/pubmed/10072155" TargetMode="External"/><Relationship Id="rId181" Type="http://schemas.openxmlformats.org/officeDocument/2006/relationships/hyperlink" Target="https://www.ncbi.nlm.nih.gov/pubmed/22984545" TargetMode="External"/><Relationship Id="rId402" Type="http://schemas.openxmlformats.org/officeDocument/2006/relationships/hyperlink" Target="https://www.ncbi.nlm.nih.gov/pubmed/10726271" TargetMode="External"/><Relationship Id="rId279" Type="http://schemas.openxmlformats.org/officeDocument/2006/relationships/hyperlink" Target="https://www.ncbi.nlm.nih.gov/pubmed/9037738" TargetMode="External"/><Relationship Id="rId486" Type="http://schemas.openxmlformats.org/officeDocument/2006/relationships/hyperlink" Target="https://www.ncbi.nlm.nih.gov/pubmed/16968922" TargetMode="External"/><Relationship Id="rId693" Type="http://schemas.openxmlformats.org/officeDocument/2006/relationships/hyperlink" Target="https://www.ncbi.nlm.nih.gov/pubmed/16216136" TargetMode="External"/><Relationship Id="rId707" Type="http://schemas.openxmlformats.org/officeDocument/2006/relationships/hyperlink" Target="https://www.ncbi.nlm.nih.gov/pubmed/27783676" TargetMode="External"/><Relationship Id="rId43" Type="http://schemas.openxmlformats.org/officeDocument/2006/relationships/hyperlink" Target="https://www.ncbi.nlm.nih.gov/pmc/articles/PMC5866268/" TargetMode="External"/><Relationship Id="rId139" Type="http://schemas.openxmlformats.org/officeDocument/2006/relationships/hyperlink" Target="https://www.ncbi.nlm.nih.gov/pubmed/19402767" TargetMode="External"/><Relationship Id="rId346" Type="http://schemas.openxmlformats.org/officeDocument/2006/relationships/hyperlink" Target="https://www.ncbi.nlm.nih.gov/pubmed/24756465" TargetMode="External"/><Relationship Id="rId553" Type="http://schemas.openxmlformats.org/officeDocument/2006/relationships/hyperlink" Target="https://www.ncbi.nlm.nih.gov/pubmed/18632972" TargetMode="External"/><Relationship Id="rId760" Type="http://schemas.openxmlformats.org/officeDocument/2006/relationships/hyperlink" Target="https://www.ncbi.nlm.nih.gov/pubmed/22931153" TargetMode="External"/><Relationship Id="rId192" Type="http://schemas.openxmlformats.org/officeDocument/2006/relationships/hyperlink" Target="https://www.ncbi.nlm.nih.gov/pubmed/28033365" TargetMode="External"/><Relationship Id="rId206" Type="http://schemas.openxmlformats.org/officeDocument/2006/relationships/hyperlink" Target="https://www.ncbi.nlm.nih.gov/pubmed/16051848" TargetMode="External"/><Relationship Id="rId413" Type="http://schemas.openxmlformats.org/officeDocument/2006/relationships/hyperlink" Target="https://www.ncbi.nlm.nih.gov/pubmed/18959500" TargetMode="External"/><Relationship Id="rId497" Type="http://schemas.openxmlformats.org/officeDocument/2006/relationships/hyperlink" Target="https://www.ncbi.nlm.nih.gov/pubmed/25278582" TargetMode="External"/><Relationship Id="rId620" Type="http://schemas.openxmlformats.org/officeDocument/2006/relationships/hyperlink" Target="https://www.ncbi.nlm.nih.gov/pubmed/3981" TargetMode="External"/><Relationship Id="rId718" Type="http://schemas.openxmlformats.org/officeDocument/2006/relationships/hyperlink" Target="https://www.ncbi.nlm.nih.gov/pubmed/19486319" TargetMode="External"/><Relationship Id="rId357" Type="http://schemas.openxmlformats.org/officeDocument/2006/relationships/hyperlink" Target="https://www.ncbi.nlm.nih.gov/pubmed/16485481" TargetMode="External"/><Relationship Id="rId54" Type="http://schemas.openxmlformats.org/officeDocument/2006/relationships/hyperlink" Target="https://www.ncbi.nlm.nih.gov/pmc/articles/PMC5557581/" TargetMode="External"/><Relationship Id="rId217" Type="http://schemas.openxmlformats.org/officeDocument/2006/relationships/hyperlink" Target="https://www.ncbi.nlm.nih.gov/pubmed/28458916" TargetMode="External"/><Relationship Id="rId564" Type="http://schemas.openxmlformats.org/officeDocument/2006/relationships/hyperlink" Target="https://www.ncbi.nlm.nih.gov/pubmed/8827668" TargetMode="External"/><Relationship Id="rId771" Type="http://schemas.openxmlformats.org/officeDocument/2006/relationships/hyperlink" Target="https://www.ncbi.nlm.nih.gov/pubmed/19913368" TargetMode="External"/><Relationship Id="rId424" Type="http://schemas.openxmlformats.org/officeDocument/2006/relationships/hyperlink" Target="https://www.ncbi.nlm.nih.gov/pubmed/24274585" TargetMode="External"/><Relationship Id="rId631" Type="http://schemas.openxmlformats.org/officeDocument/2006/relationships/hyperlink" Target="https://www.ncbi.nlm.nih.gov/pubmed/22612895" TargetMode="External"/><Relationship Id="rId729" Type="http://schemas.openxmlformats.org/officeDocument/2006/relationships/hyperlink" Target="https://www.ncbi.nlm.nih.gov/pubmed/17326956/" TargetMode="External"/><Relationship Id="rId270" Type="http://schemas.openxmlformats.org/officeDocument/2006/relationships/hyperlink" Target="https://www.ncbi.nlm.nih.gov/pubmed/19796107" TargetMode="External"/><Relationship Id="rId65" Type="http://schemas.openxmlformats.org/officeDocument/2006/relationships/hyperlink" Target="https://www.ncbi.nlm.nih.gov/pubmed/9463659" TargetMode="External"/><Relationship Id="rId130" Type="http://schemas.openxmlformats.org/officeDocument/2006/relationships/hyperlink" Target="https://www.ncbi.nlm.nih.gov/pubmed/18568081/" TargetMode="External"/><Relationship Id="rId368" Type="http://schemas.openxmlformats.org/officeDocument/2006/relationships/hyperlink" Target="https://www.ncbi.nlm.nih.gov/pubmed/28193549" TargetMode="External"/><Relationship Id="rId575" Type="http://schemas.openxmlformats.org/officeDocument/2006/relationships/hyperlink" Target="https://www.ncbi.nlm.nih.gov/pubmed/12296402" TargetMode="External"/><Relationship Id="rId782" Type="http://schemas.openxmlformats.org/officeDocument/2006/relationships/hyperlink" Target="https://pubmed.ncbi.nlm.nih.gov/37394841/" TargetMode="External"/><Relationship Id="rId228" Type="http://schemas.openxmlformats.org/officeDocument/2006/relationships/hyperlink" Target="https://www.ncbi.nlm.nih.gov/pubmed/21830071" TargetMode="External"/><Relationship Id="rId435" Type="http://schemas.openxmlformats.org/officeDocument/2006/relationships/hyperlink" Target="https://www.ncbi.nlm.nih.gov/pubmed/8579086" TargetMode="External"/><Relationship Id="rId642" Type="http://schemas.openxmlformats.org/officeDocument/2006/relationships/hyperlink" Target="https://www.ncbi.nlm.nih.gov/pubmed/2122998" TargetMode="External"/><Relationship Id="rId281" Type="http://schemas.openxmlformats.org/officeDocument/2006/relationships/hyperlink" Target="https://www.ncbi.nlm.nih.gov/pubmed/6091472" TargetMode="External"/><Relationship Id="rId502" Type="http://schemas.openxmlformats.org/officeDocument/2006/relationships/hyperlink" Target="https://www.ncbi.nlm.nih.gov/pubmed/28549438" TargetMode="External"/><Relationship Id="rId76" Type="http://schemas.openxmlformats.org/officeDocument/2006/relationships/hyperlink" Target="https://www.ncbi.nlm.nih.gov/pubmed/24475112" TargetMode="External"/><Relationship Id="rId141" Type="http://schemas.openxmlformats.org/officeDocument/2006/relationships/hyperlink" Target="https://www.ncbi.nlm.nih.gov/pubmed/9230391" TargetMode="External"/><Relationship Id="rId379" Type="http://schemas.openxmlformats.org/officeDocument/2006/relationships/hyperlink" Target="https://www.ncbi.nlm.nih.gov/pubmed/?term=19706703" TargetMode="External"/><Relationship Id="rId586" Type="http://schemas.openxmlformats.org/officeDocument/2006/relationships/hyperlink" Target="https://www.ncbi.nlm.nih.gov/pubmed/19788811" TargetMode="External"/><Relationship Id="rId7" Type="http://schemas.openxmlformats.org/officeDocument/2006/relationships/hyperlink" Target="http://www.ajtmh.org/docserver/fulltext/14761645/18/3/TM0180030411.pdf?expires=1560518038&amp;id=id&amp;accname=12501&amp;checksum=3A129DA832CB4F4A87B24DC27A8313D3" TargetMode="External"/><Relationship Id="rId239" Type="http://schemas.openxmlformats.org/officeDocument/2006/relationships/hyperlink" Target="https://www.ncbi.nlm.nih.gov/pubmed/10024977" TargetMode="External"/><Relationship Id="rId446" Type="http://schemas.openxmlformats.org/officeDocument/2006/relationships/hyperlink" Target="https://www.ncbi.nlm.nih.gov/pubmed/9621198" TargetMode="External"/><Relationship Id="rId653" Type="http://schemas.openxmlformats.org/officeDocument/2006/relationships/hyperlink" Target="https://www.ncbi.nlm.nih.gov/pubmed/15554947" TargetMode="External"/><Relationship Id="rId292" Type="http://schemas.openxmlformats.org/officeDocument/2006/relationships/hyperlink" Target="https://www.ncbi.nlm.nih.gov/pubmed/21466639" TargetMode="External"/><Relationship Id="rId306" Type="http://schemas.openxmlformats.org/officeDocument/2006/relationships/hyperlink" Target="https://www.ncbi.nlm.nih.gov/pubmed/24986085" TargetMode="External"/><Relationship Id="rId87" Type="http://schemas.openxmlformats.org/officeDocument/2006/relationships/hyperlink" Target="https://www.ncbi.nlm.nih.gov/pubmed/22317811" TargetMode="External"/><Relationship Id="rId513" Type="http://schemas.openxmlformats.org/officeDocument/2006/relationships/hyperlink" Target="https://www.ncbi.nlm.nih.gov/pubmed/25996404" TargetMode="External"/><Relationship Id="rId597" Type="http://schemas.openxmlformats.org/officeDocument/2006/relationships/hyperlink" Target="https://www.ncbi.nlm.nih.gov/pubmed/10024977" TargetMode="External"/><Relationship Id="rId720" Type="http://schemas.openxmlformats.org/officeDocument/2006/relationships/hyperlink" Target="https://www.ncbi.nlm.nih.gov/pubmed/24552787" TargetMode="External"/><Relationship Id="rId152" Type="http://schemas.openxmlformats.org/officeDocument/2006/relationships/hyperlink" Target="https://www.ncbi.nlm.nih.gov/pubmed/23028323" TargetMode="External"/><Relationship Id="rId457" Type="http://schemas.openxmlformats.org/officeDocument/2006/relationships/hyperlink" Target="https://www.ncbi.nlm.nih.gov/pubmed/22889105" TargetMode="External"/><Relationship Id="rId664" Type="http://schemas.openxmlformats.org/officeDocument/2006/relationships/hyperlink" Target="https://www.ncbi.nlm.nih.gov/pubmed/22924442" TargetMode="External"/><Relationship Id="rId14" Type="http://schemas.openxmlformats.org/officeDocument/2006/relationships/hyperlink" Target="https://www.ncbi.nlm.nih.gov/pmc/articles/PMC2990042/" TargetMode="External"/><Relationship Id="rId317" Type="http://schemas.openxmlformats.org/officeDocument/2006/relationships/hyperlink" Target="https://www.ncbi.nlm.nih.gov/pubmed/18680655" TargetMode="External"/><Relationship Id="rId524" Type="http://schemas.openxmlformats.org/officeDocument/2006/relationships/hyperlink" Target="https://www.ncbi.nlm.nih.gov/pubmed/6126267" TargetMode="External"/><Relationship Id="rId731" Type="http://schemas.openxmlformats.org/officeDocument/2006/relationships/hyperlink" Target="https://www.ncbi.nlm.nih.gov/pubmed/11508391" TargetMode="External"/><Relationship Id="rId98" Type="http://schemas.openxmlformats.org/officeDocument/2006/relationships/hyperlink" Target="https://www.ncbi.nlm.nih.gov/pubmed/22526290" TargetMode="External"/><Relationship Id="rId163" Type="http://schemas.openxmlformats.org/officeDocument/2006/relationships/hyperlink" Target="https://www.ncbi.nlm.nih.gov/pubmed/11508391" TargetMode="External"/><Relationship Id="rId370" Type="http://schemas.openxmlformats.org/officeDocument/2006/relationships/hyperlink" Target="https://www.ncbi.nlm.nih.gov/pubmed/?term=Venezuelan+Hemorrhagic+Fever%3A+Clinical+and+Epidemiological+Studies+of+165+Cases" TargetMode="External"/><Relationship Id="rId230" Type="http://schemas.openxmlformats.org/officeDocument/2006/relationships/hyperlink" Target="https://www.ncbi.nlm.nih.gov/pubmed/204207" TargetMode="External"/><Relationship Id="rId468" Type="http://schemas.openxmlformats.org/officeDocument/2006/relationships/hyperlink" Target="https://www.ncbi.nlm.nih.gov/pubmed/25934793" TargetMode="External"/><Relationship Id="rId675" Type="http://schemas.openxmlformats.org/officeDocument/2006/relationships/hyperlink" Target="https://www.ncbi.nlm.nih.gov/pubmed/6300226" TargetMode="External"/><Relationship Id="rId25" Type="http://schemas.openxmlformats.org/officeDocument/2006/relationships/hyperlink" Target="https://www.ncbi.nlm.nih.gov/pubmed/10028074" TargetMode="External"/><Relationship Id="rId328" Type="http://schemas.openxmlformats.org/officeDocument/2006/relationships/hyperlink" Target="https://www.ncbi.nlm.nih.gov/pubmed/15778036" TargetMode="External"/><Relationship Id="rId535" Type="http://schemas.openxmlformats.org/officeDocument/2006/relationships/hyperlink" Target="https://www.ncbi.nlm.nih.gov/pubmed/18421377" TargetMode="External"/><Relationship Id="rId742" Type="http://schemas.openxmlformats.org/officeDocument/2006/relationships/hyperlink" Target="https://www.ncbi.nlm.nih.gov/pubmed/22615791" TargetMode="External"/><Relationship Id="rId174" Type="http://schemas.openxmlformats.org/officeDocument/2006/relationships/hyperlink" Target="https://www.ncbi.nlm.nih.gov/pubmed/25268241" TargetMode="External"/><Relationship Id="rId381" Type="http://schemas.openxmlformats.org/officeDocument/2006/relationships/hyperlink" Target="https://www.ncbi.nlm.nih.gov/pubmed/11479930?dopt=Abstract" TargetMode="External"/><Relationship Id="rId602" Type="http://schemas.openxmlformats.org/officeDocument/2006/relationships/hyperlink" Target="https://www.ncbi.nlm.nih.gov/pubmed/17947533" TargetMode="External"/><Relationship Id="rId241" Type="http://schemas.openxmlformats.org/officeDocument/2006/relationships/hyperlink" Target="https://www.ncbi.nlm.nih.gov/pubmed/23239568" TargetMode="External"/><Relationship Id="rId479" Type="http://schemas.openxmlformats.org/officeDocument/2006/relationships/hyperlink" Target="https://www.ncbi.nlm.nih.gov/pubmed/6091472/" TargetMode="External"/><Relationship Id="rId686" Type="http://schemas.openxmlformats.org/officeDocument/2006/relationships/hyperlink" Target="https://www.ncbi.nlm.nih.gov/pubmed/28549438" TargetMode="External"/><Relationship Id="rId36" Type="http://schemas.openxmlformats.org/officeDocument/2006/relationships/hyperlink" Target="https://www.ncbi.nlm.nih.gov/pubmed/3729731" TargetMode="External"/><Relationship Id="rId339" Type="http://schemas.openxmlformats.org/officeDocument/2006/relationships/hyperlink" Target="https://www.ncbi.nlm.nih.gov/pubmed/19161728" TargetMode="External"/><Relationship Id="rId546" Type="http://schemas.openxmlformats.org/officeDocument/2006/relationships/hyperlink" Target="https://www.ncbi.nlm.nih.gov/pubmed/19486319" TargetMode="External"/><Relationship Id="rId753" Type="http://schemas.openxmlformats.org/officeDocument/2006/relationships/hyperlink" Target="https://www.ncbi.nlm.nih.gov/pubmed/19636367" TargetMode="External"/><Relationship Id="rId101" Type="http://schemas.openxmlformats.org/officeDocument/2006/relationships/hyperlink" Target="https://www.ncbi.nlm.nih.gov/pubmed/11113383" TargetMode="External"/><Relationship Id="rId185" Type="http://schemas.openxmlformats.org/officeDocument/2006/relationships/hyperlink" Target="https://www.ncbi.nlm.nih.gov/pubmed/24799374" TargetMode="External"/><Relationship Id="rId406" Type="http://schemas.openxmlformats.org/officeDocument/2006/relationships/hyperlink" Target="https://www.ncbi.nlm.nih.gov/pubmed/626270" TargetMode="External"/><Relationship Id="rId392" Type="http://schemas.openxmlformats.org/officeDocument/2006/relationships/hyperlink" Target="https://www.ncbi.nlm.nih.gov/pubmed/?term=8800792" TargetMode="External"/><Relationship Id="rId613" Type="http://schemas.openxmlformats.org/officeDocument/2006/relationships/hyperlink" Target="https://www.ncbi.nlm.nih.gov/pubmed/20727376" TargetMode="External"/><Relationship Id="rId697" Type="http://schemas.openxmlformats.org/officeDocument/2006/relationships/hyperlink" Target="https://www.ncbi.nlm.nih.gov/pubmed/22953019" TargetMode="External"/><Relationship Id="rId252" Type="http://schemas.openxmlformats.org/officeDocument/2006/relationships/hyperlink" Target="https://www.ncbi.nlm.nih.gov/pubmed/15554947" TargetMode="External"/><Relationship Id="rId47" Type="http://schemas.openxmlformats.org/officeDocument/2006/relationships/hyperlink" Target="http://www.ajtmh.org/docserver/fulltext/14761645/39/5/TM0390050519.pdf?expires=1560770761&amp;id=id&amp;accname=12501&amp;checksum=161343FF4B6E0576B8CF33E530A26AB7" TargetMode="External"/><Relationship Id="rId112" Type="http://schemas.openxmlformats.org/officeDocument/2006/relationships/hyperlink" Target="https://www.ncbi.nlm.nih.gov/pubmed/19033469" TargetMode="External"/><Relationship Id="rId557" Type="http://schemas.openxmlformats.org/officeDocument/2006/relationships/hyperlink" Target="https://www.ncbi.nlm.nih.gov/pubmed/19486319" TargetMode="External"/><Relationship Id="rId764" Type="http://schemas.openxmlformats.org/officeDocument/2006/relationships/hyperlink" Target="https://www.ncbi.nlm.nih.gov/pubmed/27035712" TargetMode="External"/><Relationship Id="rId196" Type="http://schemas.openxmlformats.org/officeDocument/2006/relationships/hyperlink" Target="https://www.ncbi.nlm.nih.gov/pubmed/19439468" TargetMode="External"/><Relationship Id="rId417" Type="http://schemas.openxmlformats.org/officeDocument/2006/relationships/hyperlink" Target="https://www.ncbi.nlm.nih.gov/pubmed/28616499" TargetMode="External"/><Relationship Id="rId624" Type="http://schemas.openxmlformats.org/officeDocument/2006/relationships/hyperlink" Target="https://www.ncbi.nlm.nih.gov/pubmed/3017527" TargetMode="External"/><Relationship Id="rId263" Type="http://schemas.openxmlformats.org/officeDocument/2006/relationships/hyperlink" Target="https://www.ncbi.nlm.nih.gov/pubmed/20434750" TargetMode="External"/><Relationship Id="rId470" Type="http://schemas.openxmlformats.org/officeDocument/2006/relationships/hyperlink" Target="https://www.ncbi.nlm.nih.gov/pubmed/16318715" TargetMode="External"/><Relationship Id="rId58" Type="http://schemas.openxmlformats.org/officeDocument/2006/relationships/hyperlink" Target="https://www.ncbi.nlm.nih.gov/pubmed/23515021" TargetMode="External"/><Relationship Id="rId123" Type="http://schemas.openxmlformats.org/officeDocument/2006/relationships/hyperlink" Target="https://www.ncbi.nlm.nih.gov/pubmed/27631733" TargetMode="External"/><Relationship Id="rId330" Type="http://schemas.openxmlformats.org/officeDocument/2006/relationships/hyperlink" Target="https://www.ncbi.nlm.nih.gov/pubmed/21323673" TargetMode="External"/><Relationship Id="rId568" Type="http://schemas.openxmlformats.org/officeDocument/2006/relationships/hyperlink" Target="https://www.ncbi.nlm.nih.gov/pubmed/17507975" TargetMode="External"/><Relationship Id="rId775" Type="http://schemas.openxmlformats.org/officeDocument/2006/relationships/hyperlink" Target="https://www.ncbi.nlm.nih.gov/pubmed/9071037" TargetMode="External"/><Relationship Id="rId428" Type="http://schemas.openxmlformats.org/officeDocument/2006/relationships/hyperlink" Target="https://www.ncbi.nlm.nih.gov/pubmed/16650330" TargetMode="External"/><Relationship Id="rId635" Type="http://schemas.openxmlformats.org/officeDocument/2006/relationships/hyperlink" Target="https://www.ncbi.nlm.nih.gov/pubmed/6312099" TargetMode="External"/><Relationship Id="rId274" Type="http://schemas.openxmlformats.org/officeDocument/2006/relationships/hyperlink" Target="https://www.ncbi.nlm.nih.gov/pubmed/6299259" TargetMode="External"/><Relationship Id="rId481" Type="http://schemas.openxmlformats.org/officeDocument/2006/relationships/hyperlink" Target="https://www.ncbi.nlm.nih.gov/pubmed/20889861" TargetMode="External"/><Relationship Id="rId702" Type="http://schemas.openxmlformats.org/officeDocument/2006/relationships/hyperlink" Target="https://www.ncbi.nlm.nih.gov/pubmed/26982388" TargetMode="External"/><Relationship Id="rId69" Type="http://schemas.openxmlformats.org/officeDocument/2006/relationships/hyperlink" Target="https://www.ncbi.nlm.nih.gov/pubmed/29476812" TargetMode="External"/><Relationship Id="rId134" Type="http://schemas.openxmlformats.org/officeDocument/2006/relationships/hyperlink" Target="https://www.ncbi.nlm.nih.gov/pubmed/15911757/" TargetMode="External"/><Relationship Id="rId579" Type="http://schemas.openxmlformats.org/officeDocument/2006/relationships/hyperlink" Target="https://www.ncbi.nlm.nih.gov/pubmed/9140195" TargetMode="External"/><Relationship Id="rId786" Type="http://schemas.openxmlformats.org/officeDocument/2006/relationships/hyperlink" Target="https://pubmed.ncbi.nlm.nih.gov/36687574/" TargetMode="External"/><Relationship Id="rId341" Type="http://schemas.openxmlformats.org/officeDocument/2006/relationships/hyperlink" Target="https://www.ncbi.nlm.nih.gov/pubmed/23097447" TargetMode="External"/><Relationship Id="rId439" Type="http://schemas.openxmlformats.org/officeDocument/2006/relationships/hyperlink" Target="https://www.ncbi.nlm.nih.gov/pubmed/19782482" TargetMode="External"/><Relationship Id="rId646" Type="http://schemas.openxmlformats.org/officeDocument/2006/relationships/hyperlink" Target="https://www.ncbi.nlm.nih.gov/pubmed/7905555" TargetMode="External"/><Relationship Id="rId201" Type="http://schemas.openxmlformats.org/officeDocument/2006/relationships/hyperlink" Target="https://www.ncbi.nlm.nih.gov/pubmed/23552411" TargetMode="External"/><Relationship Id="rId285" Type="http://schemas.openxmlformats.org/officeDocument/2006/relationships/hyperlink" Target="https://www.ncbi.nlm.nih.gov/pubmed/24475112" TargetMode="External"/><Relationship Id="rId506" Type="http://schemas.openxmlformats.org/officeDocument/2006/relationships/hyperlink" Target="https://www.ncbi.nlm.nih.gov/pubmed/17712412" TargetMode="External"/><Relationship Id="rId492" Type="http://schemas.openxmlformats.org/officeDocument/2006/relationships/hyperlink" Target="https://www.ncbi.nlm.nih.gov/pubmed/7563415" TargetMode="External"/><Relationship Id="rId713" Type="http://schemas.openxmlformats.org/officeDocument/2006/relationships/hyperlink" Target="https://www.ncbi.nlm.nih.gov/pubmed/23763901" TargetMode="External"/><Relationship Id="rId145" Type="http://schemas.openxmlformats.org/officeDocument/2006/relationships/hyperlink" Target="https://www.ncbi.nlm.nih.gov/pubmed/11463116" TargetMode="External"/><Relationship Id="rId352" Type="http://schemas.openxmlformats.org/officeDocument/2006/relationships/hyperlink" Target="https://www.ncbi.nlm.nih.gov/pubmed/15330133" TargetMode="External"/><Relationship Id="rId212" Type="http://schemas.openxmlformats.org/officeDocument/2006/relationships/hyperlink" Target="https://www.ncbi.nlm.nih.gov/pubmed/26212039" TargetMode="External"/><Relationship Id="rId657" Type="http://schemas.openxmlformats.org/officeDocument/2006/relationships/hyperlink" Target="https://www.ncbi.nlm.nih.gov/pubmed/10024977" TargetMode="External"/><Relationship Id="rId296" Type="http://schemas.openxmlformats.org/officeDocument/2006/relationships/hyperlink" Target="https://www.ncbi.nlm.nih.gov/pubmed/23161446" TargetMode="External"/><Relationship Id="rId517" Type="http://schemas.openxmlformats.org/officeDocument/2006/relationships/hyperlink" Target="https://www.ncbi.nlm.nih.gov/pubmed/6300226" TargetMode="External"/><Relationship Id="rId724" Type="http://schemas.openxmlformats.org/officeDocument/2006/relationships/hyperlink" Target="https://www.ncbi.nlm.nih.gov/pubmed/23302882" TargetMode="External"/><Relationship Id="rId60" Type="http://schemas.openxmlformats.org/officeDocument/2006/relationships/hyperlink" Target="https://www.ncbi.nlm.nih.gov/pmc/articles/PMC4559182/" TargetMode="External"/><Relationship Id="rId156" Type="http://schemas.openxmlformats.org/officeDocument/2006/relationships/hyperlink" Target="https://www.ncbi.nlm.nih.gov/pubmed/24109214" TargetMode="External"/><Relationship Id="rId363" Type="http://schemas.openxmlformats.org/officeDocument/2006/relationships/hyperlink" Target="https://www.ncbi.nlm.nih.gov/pubmed/18445390" TargetMode="External"/><Relationship Id="rId570" Type="http://schemas.openxmlformats.org/officeDocument/2006/relationships/hyperlink" Target="https://www.ncbi.nlm.nih.gov/pubmed/22931057" TargetMode="External"/><Relationship Id="rId223" Type="http://schemas.openxmlformats.org/officeDocument/2006/relationships/hyperlink" Target="https://www.ncbi.nlm.nih.gov/pubmed/28367789" TargetMode="External"/><Relationship Id="rId430" Type="http://schemas.openxmlformats.org/officeDocument/2006/relationships/hyperlink" Target="https://www.ncbi.nlm.nih.gov/pubmed/29023435" TargetMode="External"/><Relationship Id="rId668" Type="http://schemas.openxmlformats.org/officeDocument/2006/relationships/hyperlink" Target="https://www.ncbi.nlm.nih.gov/pubmed/17947533" TargetMode="External"/><Relationship Id="rId18" Type="http://schemas.openxmlformats.org/officeDocument/2006/relationships/hyperlink" Target="https://wwwnc.cdc.gov/eid/article/14/8/pdfs/08-0100.pdf" TargetMode="External"/><Relationship Id="rId528" Type="http://schemas.openxmlformats.org/officeDocument/2006/relationships/hyperlink" Target="https://www.ncbi.nlm.nih.gov/pubmed/17705031" TargetMode="External"/><Relationship Id="rId735" Type="http://schemas.openxmlformats.org/officeDocument/2006/relationships/hyperlink" Target="https://www.ncbi.nlm.nih.gov/pubmed/24501402" TargetMode="External"/><Relationship Id="rId167" Type="http://schemas.openxmlformats.org/officeDocument/2006/relationships/hyperlink" Target="https://www.ncbi.nlm.nih.gov/pubmed/26276630" TargetMode="External"/><Relationship Id="rId374" Type="http://schemas.openxmlformats.org/officeDocument/2006/relationships/hyperlink" Target="https://www.ncbi.nlm.nih.gov/pubmed/24636947" TargetMode="External"/><Relationship Id="rId581" Type="http://schemas.openxmlformats.org/officeDocument/2006/relationships/hyperlink" Target="https://www.ncbi.nlm.nih.gov/pubmed/192094" TargetMode="External"/><Relationship Id="rId71" Type="http://schemas.openxmlformats.org/officeDocument/2006/relationships/hyperlink" Target="https://www.ncbi.nlm.nih.gov/pubmed/2862206" TargetMode="External"/><Relationship Id="rId234" Type="http://schemas.openxmlformats.org/officeDocument/2006/relationships/hyperlink" Target="https://www.ncbi.nlm.nih.gov/pubmed/23028323" TargetMode="External"/><Relationship Id="rId679" Type="http://schemas.openxmlformats.org/officeDocument/2006/relationships/hyperlink" Target="https://www.ncbi.nlm.nih.gov/pubmed/15138077" TargetMode="External"/><Relationship Id="rId2" Type="http://schemas.openxmlformats.org/officeDocument/2006/relationships/hyperlink" Target="https://www.ncbi.nlm.nih.gov/pmc/articles/PMC4811648/" TargetMode="External"/><Relationship Id="rId29" Type="http://schemas.openxmlformats.org/officeDocument/2006/relationships/hyperlink" Target="https://www.ncbi.nlm.nih.gov/pubmed/12491154" TargetMode="External"/><Relationship Id="rId441" Type="http://schemas.openxmlformats.org/officeDocument/2006/relationships/hyperlink" Target="https://www.ncbi.nlm.nih.gov/pubmed/20113550" TargetMode="External"/><Relationship Id="rId539" Type="http://schemas.openxmlformats.org/officeDocument/2006/relationships/hyperlink" Target="https://www.ncbi.nlm.nih.gov/pubmed/17126919" TargetMode="External"/><Relationship Id="rId746" Type="http://schemas.openxmlformats.org/officeDocument/2006/relationships/hyperlink" Target="https://www.ncbi.nlm.nih.gov/pubmed/12095430" TargetMode="External"/><Relationship Id="rId178" Type="http://schemas.openxmlformats.org/officeDocument/2006/relationships/hyperlink" Target="https://www.ncbi.nlm.nih.gov/pubmed/25672346" TargetMode="External"/><Relationship Id="rId301" Type="http://schemas.openxmlformats.org/officeDocument/2006/relationships/hyperlink" Target="https://www.ncbi.nlm.nih.gov/pubmed/19486319" TargetMode="External"/><Relationship Id="rId82" Type="http://schemas.openxmlformats.org/officeDocument/2006/relationships/hyperlink" Target="https://pubmed.ncbi.nlm.nih.gov/27723176/" TargetMode="External"/><Relationship Id="rId385" Type="http://schemas.openxmlformats.org/officeDocument/2006/relationships/hyperlink" Target="https://www.ncbi.nlm.nih.gov/pubmed/?term=29427907" TargetMode="External"/><Relationship Id="rId592" Type="http://schemas.openxmlformats.org/officeDocument/2006/relationships/hyperlink" Target="https://www.ncbi.nlm.nih.gov/pubmed/23223618" TargetMode="External"/><Relationship Id="rId606" Type="http://schemas.openxmlformats.org/officeDocument/2006/relationships/hyperlink" Target="https://www.ncbi.nlm.nih.gov/pubmed/12296402" TargetMode="External"/><Relationship Id="rId245" Type="http://schemas.openxmlformats.org/officeDocument/2006/relationships/hyperlink" Target="https://www.ncbi.nlm.nih.gov/pubmed/19889769" TargetMode="External"/><Relationship Id="rId452" Type="http://schemas.openxmlformats.org/officeDocument/2006/relationships/hyperlink" Target="https://www.ncbi.nlm.nih.gov/pubmed/10958585" TargetMode="External"/><Relationship Id="rId105" Type="http://schemas.openxmlformats.org/officeDocument/2006/relationships/hyperlink" Target="https://www.ncbi.nlm.nih.gov/pubmed/28302313" TargetMode="External"/><Relationship Id="rId312" Type="http://schemas.openxmlformats.org/officeDocument/2006/relationships/hyperlink" Target="https://www.ncbi.nlm.nih.gov/pubmed/21289119" TargetMode="External"/><Relationship Id="rId757" Type="http://schemas.openxmlformats.org/officeDocument/2006/relationships/hyperlink" Target="https://www.ncbi.nlm.nih.gov/pubmed/22129409" TargetMode="External"/><Relationship Id="rId93" Type="http://schemas.openxmlformats.org/officeDocument/2006/relationships/hyperlink" Target="https://www.ncbi.nlm.nih.gov/pubmed/27213426" TargetMode="External"/><Relationship Id="rId189" Type="http://schemas.openxmlformats.org/officeDocument/2006/relationships/hyperlink" Target="https://www.ncbi.nlm.nih.gov/pubmed/20836801" TargetMode="External"/><Relationship Id="rId396" Type="http://schemas.openxmlformats.org/officeDocument/2006/relationships/hyperlink" Target="https://www.ncbi.nlm.nih.gov/pubmed/13832180" TargetMode="External"/><Relationship Id="rId617" Type="http://schemas.openxmlformats.org/officeDocument/2006/relationships/hyperlink" Target="https://www.ncbi.nlm.nih.gov/pubmed/20587198" TargetMode="External"/><Relationship Id="rId256" Type="http://schemas.openxmlformats.org/officeDocument/2006/relationships/hyperlink" Target="https://www.ncbi.nlm.nih.gov/pubmed/12491154" TargetMode="External"/><Relationship Id="rId463" Type="http://schemas.openxmlformats.org/officeDocument/2006/relationships/hyperlink" Target="https://www.ncbi.nlm.nih.gov/pubmed/20810845" TargetMode="External"/><Relationship Id="rId670" Type="http://schemas.openxmlformats.org/officeDocument/2006/relationships/hyperlink" Target="https://www.ncbi.nlm.nih.gov/pubmed/22389712" TargetMode="External"/><Relationship Id="rId116" Type="http://schemas.openxmlformats.org/officeDocument/2006/relationships/hyperlink" Target="https://www.ncbi.nlm.nih.gov/pubmed/19033469" TargetMode="External"/><Relationship Id="rId323" Type="http://schemas.openxmlformats.org/officeDocument/2006/relationships/hyperlink" Target="https://pubmed.ncbi.nlm.nih.gov/38640700/" TargetMode="External"/><Relationship Id="rId530" Type="http://schemas.openxmlformats.org/officeDocument/2006/relationships/hyperlink" Target="https://www.ncbi.nlm.nih.gov/pubmed/21323673" TargetMode="External"/><Relationship Id="rId768" Type="http://schemas.openxmlformats.org/officeDocument/2006/relationships/hyperlink" Target="https://www.ncbi.nlm.nih.gov/pubmed/22864548" TargetMode="External"/><Relationship Id="rId20" Type="http://schemas.openxmlformats.org/officeDocument/2006/relationships/hyperlink" Target="http://www.ajtmh.org/docserver/fulltext/14761645/76/3/0760417.pdf?expires=1562767440&amp;id=id&amp;accname=12501&amp;checksum=D701037C951FD3C91636832930260636" TargetMode="External"/><Relationship Id="rId628" Type="http://schemas.openxmlformats.org/officeDocument/2006/relationships/hyperlink" Target="https://www.ncbi.nlm.nih.gov/pubmed/19393266" TargetMode="External"/><Relationship Id="rId267" Type="http://schemas.openxmlformats.org/officeDocument/2006/relationships/hyperlink" Target="https://www.ncbi.nlm.nih.gov/pubmed/19697413" TargetMode="External"/><Relationship Id="rId474" Type="http://schemas.openxmlformats.org/officeDocument/2006/relationships/hyperlink" Target="https://www.ncbi.nlm.nih.gov/pubmed/26350980" TargetMode="External"/><Relationship Id="rId127" Type="http://schemas.openxmlformats.org/officeDocument/2006/relationships/hyperlink" Target="https://www.ncbi.nlm.nih.gov/pubmed/17326938" TargetMode="External"/><Relationship Id="rId681" Type="http://schemas.openxmlformats.org/officeDocument/2006/relationships/hyperlink" Target="https://www.ncbi.nlm.nih.gov/pubmed/10024977" TargetMode="External"/><Relationship Id="rId779" Type="http://schemas.openxmlformats.org/officeDocument/2006/relationships/hyperlink" Target="https://pubmed.ncbi.nlm.nih.gov/38640700/" TargetMode="External"/><Relationship Id="rId31" Type="http://schemas.openxmlformats.org/officeDocument/2006/relationships/hyperlink" Target="https://www.ncbi.nlm.nih.gov/pubmed/18015747" TargetMode="External"/><Relationship Id="rId334" Type="http://schemas.openxmlformats.org/officeDocument/2006/relationships/hyperlink" Target="https://www.ncbi.nlm.nih.gov/pubmed/29186347" TargetMode="External"/><Relationship Id="rId541" Type="http://schemas.openxmlformats.org/officeDocument/2006/relationships/hyperlink" Target="https://www.ncbi.nlm.nih.gov/pubmed/22889105" TargetMode="External"/><Relationship Id="rId639" Type="http://schemas.openxmlformats.org/officeDocument/2006/relationships/hyperlink" Target="https://www.ncbi.nlm.nih.gov/pubmed/23054414" TargetMode="External"/><Relationship Id="rId180" Type="http://schemas.openxmlformats.org/officeDocument/2006/relationships/hyperlink" Target="https://www.ncbi.nlm.nih.gov/pubmed/24552787" TargetMode="External"/><Relationship Id="rId278" Type="http://schemas.openxmlformats.org/officeDocument/2006/relationships/hyperlink" Target="https://www.ncbi.nlm.nih.gov/pubmed/28653496" TargetMode="External"/><Relationship Id="rId401" Type="http://schemas.openxmlformats.org/officeDocument/2006/relationships/hyperlink" Target="https://www.ncbi.nlm.nih.gov/pubmed/19486319" TargetMode="External"/><Relationship Id="rId485" Type="http://schemas.openxmlformats.org/officeDocument/2006/relationships/hyperlink" Target="https://www.ncbi.nlm.nih.gov/pubmed/25781465" TargetMode="External"/><Relationship Id="rId692" Type="http://schemas.openxmlformats.org/officeDocument/2006/relationships/hyperlink" Target="https://www.ncbi.nlm.nih.gov/pubmed/8666081" TargetMode="External"/><Relationship Id="rId706" Type="http://schemas.openxmlformats.org/officeDocument/2006/relationships/hyperlink" Target="https://www.ncbi.nlm.nih.gov/pubmed/26658066" TargetMode="External"/><Relationship Id="rId42" Type="http://schemas.openxmlformats.org/officeDocument/2006/relationships/hyperlink" Target="https://www.ncbi.nlm.nih.gov/pmc/articles/PMC3820315/" TargetMode="External"/><Relationship Id="rId138" Type="http://schemas.openxmlformats.org/officeDocument/2006/relationships/hyperlink" Target="https://www.ncbi.nlm.nih.gov/pubmed/6261689/" TargetMode="External"/><Relationship Id="rId345" Type="http://schemas.openxmlformats.org/officeDocument/2006/relationships/hyperlink" Target="https://www.ncbi.nlm.nih.gov/pubmed/19759142" TargetMode="External"/><Relationship Id="rId552" Type="http://schemas.openxmlformats.org/officeDocument/2006/relationships/hyperlink" Target="https://www.ncbi.nlm.nih.gov/pubmed/23960171" TargetMode="External"/><Relationship Id="rId191" Type="http://schemas.openxmlformats.org/officeDocument/2006/relationships/hyperlink" Target="https://www.ncbi.nlm.nih.gov/pubmed/24637582" TargetMode="External"/><Relationship Id="rId205" Type="http://schemas.openxmlformats.org/officeDocument/2006/relationships/hyperlink" Target="https://www.ncbi.nlm.nih.gov/pubmed/20727376" TargetMode="External"/><Relationship Id="rId412" Type="http://schemas.openxmlformats.org/officeDocument/2006/relationships/hyperlink" Target="https://www.ncbi.nlm.nih.gov/pubmed/11113383" TargetMode="External"/><Relationship Id="rId289" Type="http://schemas.openxmlformats.org/officeDocument/2006/relationships/hyperlink" Target="https://www.ncbi.nlm.nih.gov/pubmed/192094" TargetMode="External"/><Relationship Id="rId496" Type="http://schemas.openxmlformats.org/officeDocument/2006/relationships/hyperlink" Target="https://www.ncbi.nlm.nih.gov/pubmed/2986324" TargetMode="External"/><Relationship Id="rId717" Type="http://schemas.openxmlformats.org/officeDocument/2006/relationships/hyperlink" Target="https://www.ncbi.nlm.nih.gov/pubmed/23305714" TargetMode="External"/><Relationship Id="rId53" Type="http://schemas.openxmlformats.org/officeDocument/2006/relationships/hyperlink" Target="https://www.ncbi.nlm.nih.gov/pmc/articles/PMC89008/" TargetMode="External"/><Relationship Id="rId149" Type="http://schemas.openxmlformats.org/officeDocument/2006/relationships/hyperlink" Target="https://www.ncbi.nlm.nih.gov/pubmed/15381803" TargetMode="External"/><Relationship Id="rId356" Type="http://schemas.openxmlformats.org/officeDocument/2006/relationships/hyperlink" Target="https://www.ncbi.nlm.nih.gov/pubmed/9437261" TargetMode="External"/><Relationship Id="rId563" Type="http://schemas.openxmlformats.org/officeDocument/2006/relationships/hyperlink" Target="https://www.ncbi.nlm.nih.gov/pubmed/2849884" TargetMode="External"/><Relationship Id="rId770" Type="http://schemas.openxmlformats.org/officeDocument/2006/relationships/hyperlink" Target="https://www.ncbi.nlm.nih.gov/pubmed/11463116" TargetMode="External"/><Relationship Id="rId216" Type="http://schemas.openxmlformats.org/officeDocument/2006/relationships/hyperlink" Target="https://www.ncbi.nlm.nih.gov/pubmed/19386708" TargetMode="External"/><Relationship Id="rId423" Type="http://schemas.openxmlformats.org/officeDocument/2006/relationships/hyperlink" Target="https://www.ncbi.nlm.nih.gov/pubmed/25272189" TargetMode="External"/><Relationship Id="rId258" Type="http://schemas.openxmlformats.org/officeDocument/2006/relationships/hyperlink" Target="https://www.ncbi.nlm.nih.gov/pubmed/7905555" TargetMode="External"/><Relationship Id="rId465" Type="http://schemas.openxmlformats.org/officeDocument/2006/relationships/hyperlink" Target="https://www.ncbi.nlm.nih.gov/pubmed/16318707" TargetMode="External"/><Relationship Id="rId630" Type="http://schemas.openxmlformats.org/officeDocument/2006/relationships/hyperlink" Target="https://www.ncbi.nlm.nih.gov/pubmed/6749977" TargetMode="External"/><Relationship Id="rId672" Type="http://schemas.openxmlformats.org/officeDocument/2006/relationships/hyperlink" Target="https://www.ncbi.nlm.nih.gov/pubmed/23283959" TargetMode="External"/><Relationship Id="rId728" Type="http://schemas.openxmlformats.org/officeDocument/2006/relationships/hyperlink" Target="https://www.ncbi.nlm.nih.gov/pubmed/15487592" TargetMode="External"/><Relationship Id="rId22" Type="http://schemas.openxmlformats.org/officeDocument/2006/relationships/hyperlink" Target="https://academic.oup.com/jme/article/49/3/731/875915" TargetMode="External"/><Relationship Id="rId64" Type="http://schemas.openxmlformats.org/officeDocument/2006/relationships/hyperlink" Target="https://www.ncbi.nlm.nih.gov/pubmed/21871214" TargetMode="External"/><Relationship Id="rId118" Type="http://schemas.openxmlformats.org/officeDocument/2006/relationships/hyperlink" Target="https://www.ncbi.nlm.nih.gov/pubmed/27489269" TargetMode="External"/><Relationship Id="rId325" Type="http://schemas.openxmlformats.org/officeDocument/2006/relationships/hyperlink" Target="https://pubmed.ncbi.nlm.nih.gov/33496245/" TargetMode="External"/><Relationship Id="rId367" Type="http://schemas.openxmlformats.org/officeDocument/2006/relationships/hyperlink" Target="https://www.ncbi.nlm.nih.gov/pubmed/15964158" TargetMode="External"/><Relationship Id="rId532" Type="http://schemas.openxmlformats.org/officeDocument/2006/relationships/hyperlink" Target="https://www.ncbi.nlm.nih.gov/pubmed/204207" TargetMode="External"/><Relationship Id="rId574" Type="http://schemas.openxmlformats.org/officeDocument/2006/relationships/hyperlink" Target="https://www.ncbi.nlm.nih.gov/pubmed/11113383" TargetMode="External"/><Relationship Id="rId171" Type="http://schemas.openxmlformats.org/officeDocument/2006/relationships/hyperlink" Target="https://www.ncbi.nlm.nih.gov/pubmed/18205973" TargetMode="External"/><Relationship Id="rId227" Type="http://schemas.openxmlformats.org/officeDocument/2006/relationships/hyperlink" Target="https://www.ncbi.nlm.nih.gov/pubmed/28479064" TargetMode="External"/><Relationship Id="rId781" Type="http://schemas.openxmlformats.org/officeDocument/2006/relationships/hyperlink" Target="https://pubmed.ncbi.nlm.nih.gov/22114344/" TargetMode="External"/><Relationship Id="rId269" Type="http://schemas.openxmlformats.org/officeDocument/2006/relationships/hyperlink" Target="https://www.ncbi.nlm.nih.gov/pubmed/20850178" TargetMode="External"/><Relationship Id="rId434" Type="http://schemas.openxmlformats.org/officeDocument/2006/relationships/hyperlink" Target="https://www.ncbi.nlm.nih.gov/pubmed/9000098" TargetMode="External"/><Relationship Id="rId476" Type="http://schemas.openxmlformats.org/officeDocument/2006/relationships/hyperlink" Target="https://www.ncbi.nlm.nih.gov/pubmed/23028323" TargetMode="External"/><Relationship Id="rId641" Type="http://schemas.openxmlformats.org/officeDocument/2006/relationships/hyperlink" Target="https://www.ncbi.nlm.nih.gov/pubmed/18712810" TargetMode="External"/><Relationship Id="rId683" Type="http://schemas.openxmlformats.org/officeDocument/2006/relationships/hyperlink" Target="https://www.ncbi.nlm.nih.gov/pubmed/21529401" TargetMode="External"/><Relationship Id="rId739" Type="http://schemas.openxmlformats.org/officeDocument/2006/relationships/hyperlink" Target="https://www.ncbi.nlm.nih.gov/pubmed/23028323" TargetMode="External"/><Relationship Id="rId33" Type="http://schemas.openxmlformats.org/officeDocument/2006/relationships/hyperlink" Target="https://www.ncbi.nlm.nih.gov/pubmed/21734146" TargetMode="External"/><Relationship Id="rId129" Type="http://schemas.openxmlformats.org/officeDocument/2006/relationships/hyperlink" Target="https://www.ncbi.nlm.nih.gov/pubmed/7962552" TargetMode="External"/><Relationship Id="rId280" Type="http://schemas.openxmlformats.org/officeDocument/2006/relationships/hyperlink" Target="https://www.ncbi.nlm.nih.gov/pubmed/10024977" TargetMode="External"/><Relationship Id="rId336" Type="http://schemas.openxmlformats.org/officeDocument/2006/relationships/hyperlink" Target="https://www.ncbi.nlm.nih.gov/pubmed/29186347" TargetMode="External"/><Relationship Id="rId501" Type="http://schemas.openxmlformats.org/officeDocument/2006/relationships/hyperlink" Target="https://www.ncbi.nlm.nih.gov/pubmed/?term=15650185" TargetMode="External"/><Relationship Id="rId543" Type="http://schemas.openxmlformats.org/officeDocument/2006/relationships/hyperlink" Target="https://www.ncbi.nlm.nih.gov/pubmed/22526290" TargetMode="External"/><Relationship Id="rId75" Type="http://schemas.openxmlformats.org/officeDocument/2006/relationships/hyperlink" Target="https://www.ncbi.nlm.nih.gov/pubmed/27213426" TargetMode="External"/><Relationship Id="rId140" Type="http://schemas.openxmlformats.org/officeDocument/2006/relationships/hyperlink" Target="https://www.ncbi.nlm.nih.gov/pubmed/21575246/" TargetMode="External"/><Relationship Id="rId182" Type="http://schemas.openxmlformats.org/officeDocument/2006/relationships/hyperlink" Target="https://www.ncbi.nlm.nih.gov/pubmed/23875051" TargetMode="External"/><Relationship Id="rId378" Type="http://schemas.openxmlformats.org/officeDocument/2006/relationships/hyperlink" Target="https://www.ncbi.nlm.nih.gov/pubmed/?term=19814825" TargetMode="External"/><Relationship Id="rId403" Type="http://schemas.openxmlformats.org/officeDocument/2006/relationships/hyperlink" Target="https://www.ncbi.nlm.nih.gov/pubmed/18143619" TargetMode="External"/><Relationship Id="rId585" Type="http://schemas.openxmlformats.org/officeDocument/2006/relationships/hyperlink" Target="https://www.ncbi.nlm.nih.gov/pubmed/10930658" TargetMode="External"/><Relationship Id="rId750" Type="http://schemas.openxmlformats.org/officeDocument/2006/relationships/hyperlink" Target="https://www.ncbi.nlm.nih.gov/pubmed/19033469" TargetMode="External"/><Relationship Id="rId6" Type="http://schemas.openxmlformats.org/officeDocument/2006/relationships/hyperlink" Target="https://www.ncbi.nlm.nih.gov/pmc/articles/PMC2627720/pdf/10511520.pdf" TargetMode="External"/><Relationship Id="rId238" Type="http://schemas.openxmlformats.org/officeDocument/2006/relationships/hyperlink" Target="https://www.ncbi.nlm.nih.gov/pubmed/21529401" TargetMode="External"/><Relationship Id="rId445" Type="http://schemas.openxmlformats.org/officeDocument/2006/relationships/hyperlink" Target="https://www.ncbi.nlm.nih.gov/pubmed/24501402" TargetMode="External"/><Relationship Id="rId487" Type="http://schemas.openxmlformats.org/officeDocument/2006/relationships/hyperlink" Target="https://www.ncbi.nlm.nih.gov/pubmed/23006778" TargetMode="External"/><Relationship Id="rId610" Type="http://schemas.openxmlformats.org/officeDocument/2006/relationships/hyperlink" Target="https://www.ncbi.nlm.nih.gov/pubmed/20850178" TargetMode="External"/><Relationship Id="rId652" Type="http://schemas.openxmlformats.org/officeDocument/2006/relationships/hyperlink" Target="https://www.ncbi.nlm.nih.gov/pubmed/17507975" TargetMode="External"/><Relationship Id="rId694" Type="http://schemas.openxmlformats.org/officeDocument/2006/relationships/hyperlink" Target="https://www.ncbi.nlm.nih.gov/pubmed/26350980" TargetMode="External"/><Relationship Id="rId708" Type="http://schemas.openxmlformats.org/officeDocument/2006/relationships/hyperlink" Target="https://www.ncbi.nlm.nih.gov/pubmed/22278233" TargetMode="External"/><Relationship Id="rId291" Type="http://schemas.openxmlformats.org/officeDocument/2006/relationships/hyperlink" Target="https://www.ncbi.nlm.nih.gov/pubmed/23746799" TargetMode="External"/><Relationship Id="rId305" Type="http://schemas.openxmlformats.org/officeDocument/2006/relationships/hyperlink" Target="https://www.ncbi.nlm.nih.gov/pubmed/22300969" TargetMode="External"/><Relationship Id="rId347" Type="http://schemas.openxmlformats.org/officeDocument/2006/relationships/hyperlink" Target="https://www.ncbi.nlm.nih.gov/pubmed/29780032" TargetMode="External"/><Relationship Id="rId512" Type="http://schemas.openxmlformats.org/officeDocument/2006/relationships/hyperlink" Target="https://www.ncbi.nlm.nih.gov/pubmed/22320357" TargetMode="External"/><Relationship Id="rId44" Type="http://schemas.openxmlformats.org/officeDocument/2006/relationships/hyperlink" Target="https://www.ncbi.nlm.nih.gov/pmc/articles/PMC5866268/" TargetMode="External"/><Relationship Id="rId86" Type="http://schemas.openxmlformats.org/officeDocument/2006/relationships/hyperlink" Target="https://www.ncbi.nlm.nih.gov/pubmed/28302313" TargetMode="External"/><Relationship Id="rId151" Type="http://schemas.openxmlformats.org/officeDocument/2006/relationships/hyperlink" Target="https://www.ncbi.nlm.nih.gov/pubmed/23028323" TargetMode="External"/><Relationship Id="rId389" Type="http://schemas.openxmlformats.org/officeDocument/2006/relationships/hyperlink" Target="https://www.ncbi.nlm.nih.gov/pubmed/10024977" TargetMode="External"/><Relationship Id="rId554" Type="http://schemas.openxmlformats.org/officeDocument/2006/relationships/hyperlink" Target="https://www.ncbi.nlm.nih.gov/pubmed/22937876" TargetMode="External"/><Relationship Id="rId596" Type="http://schemas.openxmlformats.org/officeDocument/2006/relationships/hyperlink" Target="https://www.ncbi.nlm.nih.gov/pubmed/26583313" TargetMode="External"/><Relationship Id="rId761" Type="http://schemas.openxmlformats.org/officeDocument/2006/relationships/hyperlink" Target="https://www.ncbi.nlm.nih.gov/pubmed/17961279" TargetMode="External"/><Relationship Id="rId193" Type="http://schemas.openxmlformats.org/officeDocument/2006/relationships/hyperlink" Target="https://www.ncbi.nlm.nih.gov/pubmed/10516034" TargetMode="External"/><Relationship Id="rId207" Type="http://schemas.openxmlformats.org/officeDocument/2006/relationships/hyperlink" Target="https://www.ncbi.nlm.nih.gov/pubmed/28488954" TargetMode="External"/><Relationship Id="rId249" Type="http://schemas.openxmlformats.org/officeDocument/2006/relationships/hyperlink" Target="https://www.ncbi.nlm.nih.gov/pubmed/22000358" TargetMode="External"/><Relationship Id="rId414" Type="http://schemas.openxmlformats.org/officeDocument/2006/relationships/hyperlink" Target="https://www.ncbi.nlm.nih.gov/pubmed/23377671" TargetMode="External"/><Relationship Id="rId456" Type="http://schemas.openxmlformats.org/officeDocument/2006/relationships/hyperlink" Target="https://www.ncbi.nlm.nih.gov/pubmed/17961279" TargetMode="External"/><Relationship Id="rId498" Type="http://schemas.openxmlformats.org/officeDocument/2006/relationships/hyperlink" Target="https://www.ncbi.nlm.nih.gov/pubmed/10089006" TargetMode="External"/><Relationship Id="rId621" Type="http://schemas.openxmlformats.org/officeDocument/2006/relationships/hyperlink" Target="https://www.ncbi.nlm.nih.gov/pubmed/22752515" TargetMode="External"/><Relationship Id="rId663" Type="http://schemas.openxmlformats.org/officeDocument/2006/relationships/hyperlink" Target="https://www.ncbi.nlm.nih.gov/pubmed/18240970" TargetMode="External"/><Relationship Id="rId13" Type="http://schemas.openxmlformats.org/officeDocument/2006/relationships/hyperlink" Target="https://www.ncbi.nlm.nih.gov/pmc/articles/PMC2929076/" TargetMode="External"/><Relationship Id="rId109" Type="http://schemas.openxmlformats.org/officeDocument/2006/relationships/hyperlink" Target="https://www.ncbi.nlm.nih.gov/pubmed/23666045" TargetMode="External"/><Relationship Id="rId260" Type="http://schemas.openxmlformats.org/officeDocument/2006/relationships/hyperlink" Target="https://www.ncbi.nlm.nih.gov/pubmed/22457530" TargetMode="External"/><Relationship Id="rId316" Type="http://schemas.openxmlformats.org/officeDocument/2006/relationships/hyperlink" Target="https://www.ncbi.nlm.nih.gov/pubmed/21752915" TargetMode="External"/><Relationship Id="rId523" Type="http://schemas.openxmlformats.org/officeDocument/2006/relationships/hyperlink" Target="https://www.ncbi.nlm.nih.gov/pubmed/12789111" TargetMode="External"/><Relationship Id="rId719" Type="http://schemas.openxmlformats.org/officeDocument/2006/relationships/hyperlink" Target="https://www.ncbi.nlm.nih.gov/pubmed/180846" TargetMode="External"/><Relationship Id="rId55" Type="http://schemas.openxmlformats.org/officeDocument/2006/relationships/hyperlink" Target="https://www.ncbi.nlm.nih.gov/pubmed/192094" TargetMode="External"/><Relationship Id="rId97" Type="http://schemas.openxmlformats.org/officeDocument/2006/relationships/hyperlink" Target="https://www.ncbi.nlm.nih.gov/pubmed/24789796" TargetMode="External"/><Relationship Id="rId120" Type="http://schemas.openxmlformats.org/officeDocument/2006/relationships/hyperlink" Target="https://www.ncbi.nlm.nih.gov/pubmed/26396247" TargetMode="External"/><Relationship Id="rId358" Type="http://schemas.openxmlformats.org/officeDocument/2006/relationships/hyperlink" Target="https://www.ncbi.nlm.nih.gov/pubmed/21087785" TargetMode="External"/><Relationship Id="rId565" Type="http://schemas.openxmlformats.org/officeDocument/2006/relationships/hyperlink" Target="https://www.ncbi.nlm.nih.gov/pubmed/12551991" TargetMode="External"/><Relationship Id="rId730" Type="http://schemas.openxmlformats.org/officeDocument/2006/relationships/hyperlink" Target="https://www.ncbi.nlm.nih.gov/pubmed/23666045" TargetMode="External"/><Relationship Id="rId772" Type="http://schemas.openxmlformats.org/officeDocument/2006/relationships/hyperlink" Target="https://www.ncbi.nlm.nih.gov/pubmed/26396247" TargetMode="External"/><Relationship Id="rId162" Type="http://schemas.openxmlformats.org/officeDocument/2006/relationships/hyperlink" Target="https://www.ncbi.nlm.nih.gov/pubmed/13793361" TargetMode="External"/><Relationship Id="rId218" Type="http://schemas.openxmlformats.org/officeDocument/2006/relationships/hyperlink" Target="https://www.ncbi.nlm.nih.gov/pubmed/27530215" TargetMode="External"/><Relationship Id="rId425" Type="http://schemas.openxmlformats.org/officeDocument/2006/relationships/hyperlink" Target="https://www.ncbi.nlm.nih.gov/pubmed/22877560" TargetMode="External"/><Relationship Id="rId467" Type="http://schemas.openxmlformats.org/officeDocument/2006/relationships/hyperlink" Target="https://www.ncbi.nlm.nih.gov/pubmed/22278828/" TargetMode="External"/><Relationship Id="rId632" Type="http://schemas.openxmlformats.org/officeDocument/2006/relationships/hyperlink" Target="https://www.ncbi.nlm.nih.gov/pubmed/21801651" TargetMode="External"/><Relationship Id="rId271" Type="http://schemas.openxmlformats.org/officeDocument/2006/relationships/hyperlink" Target="https://www.ncbi.nlm.nih.gov/pubmed/11243752" TargetMode="External"/><Relationship Id="rId674" Type="http://schemas.openxmlformats.org/officeDocument/2006/relationships/hyperlink" Target="https://www.ncbi.nlm.nih.gov/pubmed/7563415" TargetMode="External"/><Relationship Id="rId24" Type="http://schemas.openxmlformats.org/officeDocument/2006/relationships/hyperlink" Target="https://www.ncbi.nlm.nih.gov/pubmed/27101567" TargetMode="External"/><Relationship Id="rId66" Type="http://schemas.openxmlformats.org/officeDocument/2006/relationships/hyperlink" Target="https://www.ncbi.nlm.nih.gov/pubmed/22526290" TargetMode="External"/><Relationship Id="rId131" Type="http://schemas.openxmlformats.org/officeDocument/2006/relationships/hyperlink" Target="https://www.ncbi.nlm.nih.gov/pubmed/23034141/" TargetMode="External"/><Relationship Id="rId327" Type="http://schemas.openxmlformats.org/officeDocument/2006/relationships/hyperlink" Target="https://pubmed.ncbi.nlm.nih.gov/17460053/" TargetMode="External"/><Relationship Id="rId369" Type="http://schemas.openxmlformats.org/officeDocument/2006/relationships/hyperlink" Target="https://www.ncbi.nlm.nih.gov/pubmed/18421377" TargetMode="External"/><Relationship Id="rId534" Type="http://schemas.openxmlformats.org/officeDocument/2006/relationships/hyperlink" Target="https://www.ncbi.nlm.nih.gov/pubmed/15929402" TargetMode="External"/><Relationship Id="rId576" Type="http://schemas.openxmlformats.org/officeDocument/2006/relationships/hyperlink" Target="https://www.ncbi.nlm.nih.gov/pubmed/22371588" TargetMode="External"/><Relationship Id="rId741" Type="http://schemas.openxmlformats.org/officeDocument/2006/relationships/hyperlink" Target="https://www.ncbi.nlm.nih.gov/pubmed/22615791" TargetMode="External"/><Relationship Id="rId783" Type="http://schemas.openxmlformats.org/officeDocument/2006/relationships/hyperlink" Target="https://pubmed.ncbi.nlm.nih.gov/38031051/" TargetMode="External"/><Relationship Id="rId173" Type="http://schemas.openxmlformats.org/officeDocument/2006/relationships/hyperlink" Target="https://www.ncbi.nlm.nih.gov/pubmed/23408893" TargetMode="External"/><Relationship Id="rId229" Type="http://schemas.openxmlformats.org/officeDocument/2006/relationships/hyperlink" Target="https://www.ncbi.nlm.nih.gov/pubmed/19556568" TargetMode="External"/><Relationship Id="rId380" Type="http://schemas.openxmlformats.org/officeDocument/2006/relationships/hyperlink" Target="https://www.ncbi.nlm.nih.gov/pubmed/26154788?dopt=Abstract" TargetMode="External"/><Relationship Id="rId436" Type="http://schemas.openxmlformats.org/officeDocument/2006/relationships/hyperlink" Target="https://www.ncbi.nlm.nih.gov/pubmed/11062031" TargetMode="External"/><Relationship Id="rId601" Type="http://schemas.openxmlformats.org/officeDocument/2006/relationships/hyperlink" Target="https://www.ncbi.nlm.nih.gov/pubmed/17947533" TargetMode="External"/><Relationship Id="rId643" Type="http://schemas.openxmlformats.org/officeDocument/2006/relationships/hyperlink" Target="https://www.ncbi.nlm.nih.gov/pubmed/18712810" TargetMode="External"/><Relationship Id="rId240" Type="http://schemas.openxmlformats.org/officeDocument/2006/relationships/hyperlink" Target="https://www.ncbi.nlm.nih.gov/pubmed/15958020" TargetMode="External"/><Relationship Id="rId478" Type="http://schemas.openxmlformats.org/officeDocument/2006/relationships/hyperlink" Target="https://www.ncbi.nlm.nih.gov/pubmed/192094/" TargetMode="External"/><Relationship Id="rId685" Type="http://schemas.openxmlformats.org/officeDocument/2006/relationships/hyperlink" Target="https://www.ncbi.nlm.nih.gov/pubmed/28549438" TargetMode="External"/><Relationship Id="rId35" Type="http://schemas.openxmlformats.org/officeDocument/2006/relationships/hyperlink" Target="https://www.ncbi.nlm.nih.gov/pubmed/4750609" TargetMode="External"/><Relationship Id="rId77" Type="http://schemas.openxmlformats.org/officeDocument/2006/relationships/hyperlink" Target="https://www.ncbi.nlm.nih.gov/pubmed/22864548" TargetMode="External"/><Relationship Id="rId100" Type="http://schemas.openxmlformats.org/officeDocument/2006/relationships/hyperlink" Target="https://www.ncbi.nlm.nih.gov/pubmed/10726271" TargetMode="External"/><Relationship Id="rId282" Type="http://schemas.openxmlformats.org/officeDocument/2006/relationships/hyperlink" Target="https://www.ncbi.nlm.nih.gov/pubmed/22905211" TargetMode="External"/><Relationship Id="rId338" Type="http://schemas.openxmlformats.org/officeDocument/2006/relationships/hyperlink" Target="https://www.ncbi.nlm.nih.gov/pubmed/15778036" TargetMode="External"/><Relationship Id="rId503" Type="http://schemas.openxmlformats.org/officeDocument/2006/relationships/hyperlink" Target="https://www.ncbi.nlm.nih.gov/pubmed/?term=28616442" TargetMode="External"/><Relationship Id="rId545" Type="http://schemas.openxmlformats.org/officeDocument/2006/relationships/hyperlink" Target="https://www.ncbi.nlm.nih.gov/pubmed/10466964" TargetMode="External"/><Relationship Id="rId587" Type="http://schemas.openxmlformats.org/officeDocument/2006/relationships/hyperlink" Target="https://www.ncbi.nlm.nih.gov/pubmed/11791973" TargetMode="External"/><Relationship Id="rId710" Type="http://schemas.openxmlformats.org/officeDocument/2006/relationships/hyperlink" Target="https://www.ncbi.nlm.nih.gov/pubmed/22278828" TargetMode="External"/><Relationship Id="rId752" Type="http://schemas.openxmlformats.org/officeDocument/2006/relationships/hyperlink" Target="https://www.ncbi.nlm.nih.gov/pubmed/22615791" TargetMode="External"/><Relationship Id="rId8" Type="http://schemas.openxmlformats.org/officeDocument/2006/relationships/hyperlink" Target="http://www.ajtmh.org/docserver/fulltext/14761645/45/1/TM0450010146.pdf?expires=1560519220&amp;id=id&amp;accname=12501&amp;checksum=DEED8E1A917ED83FEB78162BF5993A0C" TargetMode="External"/><Relationship Id="rId142" Type="http://schemas.openxmlformats.org/officeDocument/2006/relationships/hyperlink" Target="https://www.ncbi.nlm.nih.gov/pubmed/2212992" TargetMode="External"/><Relationship Id="rId184" Type="http://schemas.openxmlformats.org/officeDocument/2006/relationships/hyperlink" Target="https://www.ncbi.nlm.nih.gov/pubmed/6508529" TargetMode="External"/><Relationship Id="rId391" Type="http://schemas.openxmlformats.org/officeDocument/2006/relationships/hyperlink" Target="https://www.ncbi.nlm.nih.gov/pubmed/23155478" TargetMode="External"/><Relationship Id="rId405" Type="http://schemas.openxmlformats.org/officeDocument/2006/relationships/hyperlink" Target="https://www.ncbi.nlm.nih.gov/pubmed/20850178" TargetMode="External"/><Relationship Id="rId447" Type="http://schemas.openxmlformats.org/officeDocument/2006/relationships/hyperlink" Target="https://www.ncbi.nlm.nih.gov/pubmed/9621197" TargetMode="External"/><Relationship Id="rId612" Type="http://schemas.openxmlformats.org/officeDocument/2006/relationships/hyperlink" Target="https://www.ncbi.nlm.nih.gov/pubmed/16051848" TargetMode="External"/><Relationship Id="rId251" Type="http://schemas.openxmlformats.org/officeDocument/2006/relationships/hyperlink" Target="https://www.ncbi.nlm.nih.gov/pubmed/10024977" TargetMode="External"/><Relationship Id="rId489" Type="http://schemas.openxmlformats.org/officeDocument/2006/relationships/hyperlink" Target="https://www.ncbi.nlm.nih.gov/pubmed/17360861" TargetMode="External"/><Relationship Id="rId654" Type="http://schemas.openxmlformats.org/officeDocument/2006/relationships/hyperlink" Target="https://www.ncbi.nlm.nih.gov/pubmed/480524" TargetMode="External"/><Relationship Id="rId696" Type="http://schemas.openxmlformats.org/officeDocument/2006/relationships/hyperlink" Target="https://www.ncbi.nlm.nih.gov/pubmed/28095926" TargetMode="External"/><Relationship Id="rId46" Type="http://schemas.openxmlformats.org/officeDocument/2006/relationships/hyperlink" Target="https://www.ncbi.nlm.nih.gov/pubmed/13691675" TargetMode="External"/><Relationship Id="rId293" Type="http://schemas.openxmlformats.org/officeDocument/2006/relationships/hyperlink" Target="https://www.ncbi.nlm.nih.gov/pubmed/17245535" TargetMode="External"/><Relationship Id="rId307" Type="http://schemas.openxmlformats.org/officeDocument/2006/relationships/hyperlink" Target="https://www.ncbi.nlm.nih.gov/pubmed/17126919" TargetMode="External"/><Relationship Id="rId349" Type="http://schemas.openxmlformats.org/officeDocument/2006/relationships/hyperlink" Target="https://www.ncbi.nlm.nih.gov/pubmed/17592121" TargetMode="External"/><Relationship Id="rId514" Type="http://schemas.openxmlformats.org/officeDocument/2006/relationships/hyperlink" Target="https://www.ncbi.nlm.nih.gov/pubmed/22135263" TargetMode="External"/><Relationship Id="rId556" Type="http://schemas.openxmlformats.org/officeDocument/2006/relationships/hyperlink" Target="https://www.ncbi.nlm.nih.gov/pubmed/18834510" TargetMode="External"/><Relationship Id="rId721" Type="http://schemas.openxmlformats.org/officeDocument/2006/relationships/hyperlink" Target="https://www.ncbi.nlm.nih.gov/pubmed/10726271" TargetMode="External"/><Relationship Id="rId763" Type="http://schemas.openxmlformats.org/officeDocument/2006/relationships/hyperlink" Target="https://www.ncbi.nlm.nih.gov/pubmed/9230391" TargetMode="External"/><Relationship Id="rId88" Type="http://schemas.openxmlformats.org/officeDocument/2006/relationships/hyperlink" Target="https://www.ncbi.nlm.nih.gov/pubmed/16220089" TargetMode="External"/><Relationship Id="rId111" Type="http://schemas.openxmlformats.org/officeDocument/2006/relationships/hyperlink" Target="https://www.ncbi.nlm.nih.gov/pubmed/23034141" TargetMode="External"/><Relationship Id="rId153" Type="http://schemas.openxmlformats.org/officeDocument/2006/relationships/hyperlink" Target="https://www.ncbi.nlm.nih.gov/pubmed/6283714" TargetMode="External"/><Relationship Id="rId195" Type="http://schemas.openxmlformats.org/officeDocument/2006/relationships/hyperlink" Target="https://www.ncbi.nlm.nih.gov/pubmed/24575755" TargetMode="External"/><Relationship Id="rId209" Type="http://schemas.openxmlformats.org/officeDocument/2006/relationships/hyperlink" Target="https://www.ncbi.nlm.nih.gov/pubmed/24633174" TargetMode="External"/><Relationship Id="rId360" Type="http://schemas.openxmlformats.org/officeDocument/2006/relationships/hyperlink" Target="https://www.ncbi.nlm.nih.gov/pubmed/9546784" TargetMode="External"/><Relationship Id="rId416" Type="http://schemas.openxmlformats.org/officeDocument/2006/relationships/hyperlink" Target="https://www.ncbi.nlm.nih.gov/pubmed/6300226" TargetMode="External"/><Relationship Id="rId598" Type="http://schemas.openxmlformats.org/officeDocument/2006/relationships/hyperlink" Target="https://www.ncbi.nlm.nih.gov/pubmed/16051848" TargetMode="External"/><Relationship Id="rId220" Type="http://schemas.openxmlformats.org/officeDocument/2006/relationships/hyperlink" Target="https://www.ncbi.nlm.nih.gov/pubmed/20810845" TargetMode="External"/><Relationship Id="rId458" Type="http://schemas.openxmlformats.org/officeDocument/2006/relationships/hyperlink" Target="https://www.ncbi.nlm.nih.gov/pubmed/10879642/" TargetMode="External"/><Relationship Id="rId623" Type="http://schemas.openxmlformats.org/officeDocument/2006/relationships/hyperlink" Target="https://www.ncbi.nlm.nih.gov/pubmed/19402767" TargetMode="External"/><Relationship Id="rId665" Type="http://schemas.openxmlformats.org/officeDocument/2006/relationships/hyperlink" Target="https://www.ncbi.nlm.nih.gov/pubmed/7435797" TargetMode="External"/><Relationship Id="rId15" Type="http://schemas.openxmlformats.org/officeDocument/2006/relationships/hyperlink" Target="https://www.ncbi.nlm.nih.gov/pmc/articles/PMC354180" TargetMode="External"/><Relationship Id="rId57" Type="http://schemas.openxmlformats.org/officeDocument/2006/relationships/hyperlink" Target="https://link.springer.com/article/10.1007/BF01241673" TargetMode="External"/><Relationship Id="rId262" Type="http://schemas.openxmlformats.org/officeDocument/2006/relationships/hyperlink" Target="https://www.ncbi.nlm.nih.gov/pubmed/22877560" TargetMode="External"/><Relationship Id="rId318" Type="http://schemas.openxmlformats.org/officeDocument/2006/relationships/hyperlink" Target="https://www.ncbi.nlm.nih.gov/pubmed/22320357" TargetMode="External"/><Relationship Id="rId525" Type="http://schemas.openxmlformats.org/officeDocument/2006/relationships/hyperlink" Target="https://www.ncbi.nlm.nih.gov/pubmed/21435229" TargetMode="External"/><Relationship Id="rId567" Type="http://schemas.openxmlformats.org/officeDocument/2006/relationships/hyperlink" Target="https://www.ncbi.nlm.nih.gov/pubmed/21366416" TargetMode="External"/><Relationship Id="rId732" Type="http://schemas.openxmlformats.org/officeDocument/2006/relationships/hyperlink" Target="https://www.ncbi.nlm.nih.gov/pubmed/25417845" TargetMode="External"/><Relationship Id="rId99" Type="http://schemas.openxmlformats.org/officeDocument/2006/relationships/hyperlink" Target="https://www.ncbi.nlm.nih.gov/pubmed/19486319" TargetMode="External"/><Relationship Id="rId122" Type="http://schemas.openxmlformats.org/officeDocument/2006/relationships/hyperlink" Target="https://www.ncbi.nlm.nih.gov/pubmed/27631733" TargetMode="External"/><Relationship Id="rId164" Type="http://schemas.openxmlformats.org/officeDocument/2006/relationships/hyperlink" Target="https://www.ncbi.nlm.nih.gov/pubmed/26982388" TargetMode="External"/><Relationship Id="rId371" Type="http://schemas.openxmlformats.org/officeDocument/2006/relationships/hyperlink" Target="https://www.ncbi.nlm.nih.gov/pubmed/15487592" TargetMode="External"/><Relationship Id="rId774" Type="http://schemas.openxmlformats.org/officeDocument/2006/relationships/hyperlink" Target="https://www.ncbi.nlm.nih.gov/pubmed/27101567" TargetMode="External"/><Relationship Id="rId427" Type="http://schemas.openxmlformats.org/officeDocument/2006/relationships/hyperlink" Target="https://www.ncbi.nlm.nih.gov/pubmed/15569801" TargetMode="External"/><Relationship Id="rId469" Type="http://schemas.openxmlformats.org/officeDocument/2006/relationships/hyperlink" Target="https://www.ncbi.nlm.nih.gov/pubmed/16925964/" TargetMode="External"/><Relationship Id="rId634" Type="http://schemas.openxmlformats.org/officeDocument/2006/relationships/hyperlink" Target="https://www.ncbi.nlm.nih.gov/pubmed/6312099" TargetMode="External"/><Relationship Id="rId676" Type="http://schemas.openxmlformats.org/officeDocument/2006/relationships/hyperlink" Target="https://www.ncbi.nlm.nih.gov/pubmed/17471040" TargetMode="External"/><Relationship Id="rId26" Type="http://schemas.openxmlformats.org/officeDocument/2006/relationships/hyperlink" Target="https://www.ncbi.nlm.nih.gov/pmc/articles/PMC2804100/" TargetMode="External"/><Relationship Id="rId231" Type="http://schemas.openxmlformats.org/officeDocument/2006/relationships/hyperlink" Target="https://www.ncbi.nlm.nih.gov/pubmed/27074162" TargetMode="External"/><Relationship Id="rId273" Type="http://schemas.openxmlformats.org/officeDocument/2006/relationships/hyperlink" Target="https://www.ncbi.nlm.nih.gov/pubmed/23006778" TargetMode="External"/><Relationship Id="rId329" Type="http://schemas.openxmlformats.org/officeDocument/2006/relationships/hyperlink" Target="https://www.ncbi.nlm.nih.gov/pubmed/4374322" TargetMode="External"/><Relationship Id="rId480" Type="http://schemas.openxmlformats.org/officeDocument/2006/relationships/hyperlink" Target="https://www.ncbi.nlm.nih.gov/pubmed/18279007/" TargetMode="External"/><Relationship Id="rId536" Type="http://schemas.openxmlformats.org/officeDocument/2006/relationships/hyperlink" Target="https://www.ncbi.nlm.nih.gov/pubmed/21118930" TargetMode="External"/><Relationship Id="rId701" Type="http://schemas.openxmlformats.org/officeDocument/2006/relationships/hyperlink" Target="https://www.ncbi.nlm.nih.gov/pubmed/6091472" TargetMode="External"/><Relationship Id="rId68" Type="http://schemas.openxmlformats.org/officeDocument/2006/relationships/hyperlink" Target="https://www.ncbi.nlm.nih.gov/pubmed/3981" TargetMode="External"/><Relationship Id="rId133" Type="http://schemas.openxmlformats.org/officeDocument/2006/relationships/hyperlink" Target="https://www.ncbi.nlm.nih.gov/pubmed/15911757/" TargetMode="External"/><Relationship Id="rId175" Type="http://schemas.openxmlformats.org/officeDocument/2006/relationships/hyperlink" Target="https://www.ncbi.nlm.nih.gov/pubmed/25050760" TargetMode="External"/><Relationship Id="rId340" Type="http://schemas.openxmlformats.org/officeDocument/2006/relationships/hyperlink" Target="https://www.ncbi.nlm.nih.gov/pubmed/29380396" TargetMode="External"/><Relationship Id="rId578" Type="http://schemas.openxmlformats.org/officeDocument/2006/relationships/hyperlink" Target="https://www.ncbi.nlm.nih.gov/pubmed/22710350" TargetMode="External"/><Relationship Id="rId743" Type="http://schemas.openxmlformats.org/officeDocument/2006/relationships/hyperlink" Target="https://www.ncbi.nlm.nih.gov/pubmed/22615791" TargetMode="External"/><Relationship Id="rId785" Type="http://schemas.openxmlformats.org/officeDocument/2006/relationships/hyperlink" Target="https://pubmed.ncbi.nlm.nih.gov/38870100/" TargetMode="External"/><Relationship Id="rId200" Type="http://schemas.openxmlformats.org/officeDocument/2006/relationships/hyperlink" Target="https://www.ncbi.nlm.nih.gov/pubmed/28558823" TargetMode="External"/><Relationship Id="rId382" Type="http://schemas.openxmlformats.org/officeDocument/2006/relationships/hyperlink" Target="https://www.ncbi.nlm.nih.gov/pubmed/22752792" TargetMode="External"/><Relationship Id="rId438" Type="http://schemas.openxmlformats.org/officeDocument/2006/relationships/hyperlink" Target="https://www.ncbi.nlm.nih.gov/pubmed/22371588" TargetMode="External"/><Relationship Id="rId603" Type="http://schemas.openxmlformats.org/officeDocument/2006/relationships/hyperlink" Target="https://www.ncbi.nlm.nih.gov/pubmed/28068914" TargetMode="External"/><Relationship Id="rId645" Type="http://schemas.openxmlformats.org/officeDocument/2006/relationships/hyperlink" Target="https://www.ncbi.nlm.nih.gov/pubmed/17038700" TargetMode="External"/><Relationship Id="rId687" Type="http://schemas.openxmlformats.org/officeDocument/2006/relationships/hyperlink" Target="https://www.ncbi.nlm.nih.gov/pubmed/6293325" TargetMode="External"/><Relationship Id="rId242" Type="http://schemas.openxmlformats.org/officeDocument/2006/relationships/hyperlink" Target="https://www.ncbi.nlm.nih.gov/pubmed/22389712" TargetMode="External"/><Relationship Id="rId284" Type="http://schemas.openxmlformats.org/officeDocument/2006/relationships/hyperlink" Target="https://www.ncbi.nlm.nih.gov/pubmed/16546454" TargetMode="External"/><Relationship Id="rId491" Type="http://schemas.openxmlformats.org/officeDocument/2006/relationships/hyperlink" Target="https://www.ncbi.nlm.nih.gov/pubmed/17658571" TargetMode="External"/><Relationship Id="rId505" Type="http://schemas.openxmlformats.org/officeDocument/2006/relationships/hyperlink" Target="https://www.ncbi.nlm.nih.gov/pubmed/17712412" TargetMode="External"/><Relationship Id="rId712" Type="http://schemas.openxmlformats.org/officeDocument/2006/relationships/hyperlink" Target="https://www.ncbi.nlm.nih.gov/pubmed/28033365" TargetMode="External"/><Relationship Id="rId37" Type="http://schemas.openxmlformats.org/officeDocument/2006/relationships/hyperlink" Target="https://www.ncbi.nlm.nih.gov/pubmed/14292787" TargetMode="External"/><Relationship Id="rId79" Type="http://schemas.openxmlformats.org/officeDocument/2006/relationships/hyperlink" Target="https://pubmed.ncbi.nlm.nih.gov/38004319/" TargetMode="External"/><Relationship Id="rId102" Type="http://schemas.openxmlformats.org/officeDocument/2006/relationships/hyperlink" Target="https://www.ncbi.nlm.nih.gov/pubmed/11113383" TargetMode="External"/><Relationship Id="rId144" Type="http://schemas.openxmlformats.org/officeDocument/2006/relationships/hyperlink" Target="https://www.ncbi.nlm.nih.gov/pubmed/17703419/" TargetMode="External"/><Relationship Id="rId547" Type="http://schemas.openxmlformats.org/officeDocument/2006/relationships/hyperlink" Target="https://www.ncbi.nlm.nih.gov/pubmed/23097448" TargetMode="External"/><Relationship Id="rId589" Type="http://schemas.openxmlformats.org/officeDocument/2006/relationships/hyperlink" Target="https://www.ncbi.nlm.nih.gov/pubmed/182399" TargetMode="External"/><Relationship Id="rId754" Type="http://schemas.openxmlformats.org/officeDocument/2006/relationships/hyperlink" Target="https://www.ncbi.nlm.nih.gov/pubmed/16943351" TargetMode="External"/><Relationship Id="rId90" Type="http://schemas.openxmlformats.org/officeDocument/2006/relationships/hyperlink" Target="https://www.ncbi.nlm.nih.gov/pubmed/205151" TargetMode="External"/><Relationship Id="rId186" Type="http://schemas.openxmlformats.org/officeDocument/2006/relationships/hyperlink" Target="https://www.ncbi.nlm.nih.gov/pubmed/23305714" TargetMode="External"/><Relationship Id="rId351" Type="http://schemas.openxmlformats.org/officeDocument/2006/relationships/hyperlink" Target="https://www.ncbi.nlm.nih.gov/pubmed/18679786" TargetMode="External"/><Relationship Id="rId393" Type="http://schemas.openxmlformats.org/officeDocument/2006/relationships/hyperlink" Target="https://www.ncbi.nlm.nih.gov/pubmed/23155478" TargetMode="External"/><Relationship Id="rId407" Type="http://schemas.openxmlformats.org/officeDocument/2006/relationships/hyperlink" Target="https://www.ncbi.nlm.nih.gov/pubmed/23474474" TargetMode="External"/><Relationship Id="rId449" Type="http://schemas.openxmlformats.org/officeDocument/2006/relationships/hyperlink" Target="https://www.ncbi.nlm.nih.gov/pubmed/17703419" TargetMode="External"/><Relationship Id="rId614" Type="http://schemas.openxmlformats.org/officeDocument/2006/relationships/hyperlink" Target="https://www.ncbi.nlm.nih.gov/pubmed/16318707" TargetMode="External"/><Relationship Id="rId656" Type="http://schemas.openxmlformats.org/officeDocument/2006/relationships/hyperlink" Target="https://www.ncbi.nlm.nih.gov/pubmed/23155478" TargetMode="External"/><Relationship Id="rId211" Type="http://schemas.openxmlformats.org/officeDocument/2006/relationships/hyperlink" Target="https://www.ncbi.nlm.nih.gov/pubmed/25975198" TargetMode="External"/><Relationship Id="rId253" Type="http://schemas.openxmlformats.org/officeDocument/2006/relationships/hyperlink" Target="https://www.ncbi.nlm.nih.gov/pubmed/22673358" TargetMode="External"/><Relationship Id="rId295" Type="http://schemas.openxmlformats.org/officeDocument/2006/relationships/hyperlink" Target="https://www.ncbi.nlm.nih.gov/pubmed/21366416" TargetMode="External"/><Relationship Id="rId309" Type="http://schemas.openxmlformats.org/officeDocument/2006/relationships/hyperlink" Target="https://www.ncbi.nlm.nih.gov/pubmed/12615305" TargetMode="External"/><Relationship Id="rId460" Type="http://schemas.openxmlformats.org/officeDocument/2006/relationships/hyperlink" Target="https://www.ncbi.nlm.nih.gov/pubmed/22526290" TargetMode="External"/><Relationship Id="rId516" Type="http://schemas.openxmlformats.org/officeDocument/2006/relationships/hyperlink" Target="https://www.ncbi.nlm.nih.gov/pubmed/18680655" TargetMode="External"/><Relationship Id="rId698" Type="http://schemas.openxmlformats.org/officeDocument/2006/relationships/hyperlink" Target="https://www.ncbi.nlm.nih.gov/pubmed/26212039" TargetMode="External"/><Relationship Id="rId48" Type="http://schemas.openxmlformats.org/officeDocument/2006/relationships/hyperlink" Target="https://www.ncbi.nlm.nih.gov/pmc/articles/PMC3322026/" TargetMode="External"/><Relationship Id="rId113" Type="http://schemas.openxmlformats.org/officeDocument/2006/relationships/hyperlink" Target="https://www.ncbi.nlm.nih.gov/pubmed/19033469" TargetMode="External"/><Relationship Id="rId320" Type="http://schemas.openxmlformats.org/officeDocument/2006/relationships/hyperlink" Target="https://www.ncbi.nlm.nih.gov/pubmed/25996404" TargetMode="External"/><Relationship Id="rId558" Type="http://schemas.openxmlformats.org/officeDocument/2006/relationships/hyperlink" Target="https://www.ncbi.nlm.nih.gov/pubmed/204207" TargetMode="External"/><Relationship Id="rId723" Type="http://schemas.openxmlformats.org/officeDocument/2006/relationships/hyperlink" Target="https://www.ncbi.nlm.nih.gov/pubmed/23302882" TargetMode="External"/><Relationship Id="rId765" Type="http://schemas.openxmlformats.org/officeDocument/2006/relationships/hyperlink" Target="https://www.ncbi.nlm.nih.gov/pubmed/2212992" TargetMode="External"/><Relationship Id="rId155" Type="http://schemas.openxmlformats.org/officeDocument/2006/relationships/hyperlink" Target="https://www.ncbi.nlm.nih.gov/pubmed/26193371" TargetMode="External"/><Relationship Id="rId197" Type="http://schemas.openxmlformats.org/officeDocument/2006/relationships/hyperlink" Target="https://www.ncbi.nlm.nih.gov/pubmed/25061851" TargetMode="External"/><Relationship Id="rId362" Type="http://schemas.openxmlformats.org/officeDocument/2006/relationships/hyperlink" Target="https://www.ncbi.nlm.nih.gov/pubmed/25495308" TargetMode="External"/><Relationship Id="rId418" Type="http://schemas.openxmlformats.org/officeDocument/2006/relationships/hyperlink" Target="https://www.ncbi.nlm.nih.gov/pubmed/29535295" TargetMode="External"/><Relationship Id="rId625" Type="http://schemas.openxmlformats.org/officeDocument/2006/relationships/hyperlink" Target="https://www.ncbi.nlm.nih.gov/pubmed/8627240" TargetMode="External"/><Relationship Id="rId222" Type="http://schemas.openxmlformats.org/officeDocument/2006/relationships/hyperlink" Target="https://www.ncbi.nlm.nih.gov/pubmed/26350980" TargetMode="External"/><Relationship Id="rId264" Type="http://schemas.openxmlformats.org/officeDocument/2006/relationships/hyperlink" Target="https://www.ncbi.nlm.nih.gov/pubmed/19402767" TargetMode="External"/><Relationship Id="rId471" Type="http://schemas.openxmlformats.org/officeDocument/2006/relationships/hyperlink" Target="https://www.ncbi.nlm.nih.gov/pubmed/24451093" TargetMode="External"/><Relationship Id="rId667" Type="http://schemas.openxmlformats.org/officeDocument/2006/relationships/hyperlink" Target="https://www.ncbi.nlm.nih.gov/pubmed/19741066" TargetMode="External"/><Relationship Id="rId17" Type="http://schemas.openxmlformats.org/officeDocument/2006/relationships/hyperlink" Target="https://www.ncbi.nlm.nih.gov/pmc/articles/PMC1624163/pdf/amjphnation01100-0024.pdf" TargetMode="External"/><Relationship Id="rId59" Type="http://schemas.openxmlformats.org/officeDocument/2006/relationships/hyperlink" Target="https://www.ncbi.nlm.nih.gov/pmc/articles/PMC4342338/" TargetMode="External"/><Relationship Id="rId124" Type="http://schemas.openxmlformats.org/officeDocument/2006/relationships/hyperlink" Target="https://www.ncbi.nlm.nih.gov/pubmed/27631733" TargetMode="External"/><Relationship Id="rId527" Type="http://schemas.openxmlformats.org/officeDocument/2006/relationships/hyperlink" Target="https://www.ncbi.nlm.nih.gov/pubmed/22214864" TargetMode="External"/><Relationship Id="rId569" Type="http://schemas.openxmlformats.org/officeDocument/2006/relationships/hyperlink" Target="https://www.ncbi.nlm.nih.gov/pubmed/17507975" TargetMode="External"/><Relationship Id="rId734" Type="http://schemas.openxmlformats.org/officeDocument/2006/relationships/hyperlink" Target="https://www.ncbi.nlm.nih.gov/pubmed/24929750" TargetMode="External"/><Relationship Id="rId776" Type="http://schemas.openxmlformats.org/officeDocument/2006/relationships/hyperlink" Target="https://www.ncbi.nlm.nih.gov/pubmed/27641729" TargetMode="External"/><Relationship Id="rId70" Type="http://schemas.openxmlformats.org/officeDocument/2006/relationships/hyperlink" Target="https://www.ncbi.nlm.nih.gov/pubmed/2829707" TargetMode="External"/><Relationship Id="rId166" Type="http://schemas.openxmlformats.org/officeDocument/2006/relationships/hyperlink" Target="https://www.ncbi.nlm.nih.gov/pubmed/26631809" TargetMode="External"/><Relationship Id="rId331" Type="http://schemas.openxmlformats.org/officeDocument/2006/relationships/hyperlink" Target="https://www.ncbi.nlm.nih.gov/pubmed/?term=28446680" TargetMode="External"/><Relationship Id="rId373" Type="http://schemas.openxmlformats.org/officeDocument/2006/relationships/hyperlink" Target="https://www.ncbi.nlm.nih.gov/pubmed/?term=lymphocytic+choriomeningitis+2012+bonthius" TargetMode="External"/><Relationship Id="rId429" Type="http://schemas.openxmlformats.org/officeDocument/2006/relationships/hyperlink" Target="https://www.ncbi.nlm.nih.gov/pubmed/20187741" TargetMode="External"/><Relationship Id="rId580" Type="http://schemas.openxmlformats.org/officeDocument/2006/relationships/hyperlink" Target="https://www.ncbi.nlm.nih.gov/pubmed/1325663" TargetMode="External"/><Relationship Id="rId636" Type="http://schemas.openxmlformats.org/officeDocument/2006/relationships/hyperlink" Target="https://www.ncbi.nlm.nih.gov/pubmed/6312099" TargetMode="External"/><Relationship Id="rId1" Type="http://schemas.openxmlformats.org/officeDocument/2006/relationships/hyperlink" Target="https://www.ncbi.nlm.nih.gov/pmc/articles/PMC2819879/" TargetMode="External"/><Relationship Id="rId233" Type="http://schemas.openxmlformats.org/officeDocument/2006/relationships/hyperlink" Target="https://www.ncbi.nlm.nih.gov/pubmed/28220327" TargetMode="External"/><Relationship Id="rId440" Type="http://schemas.openxmlformats.org/officeDocument/2006/relationships/hyperlink" Target="https://www.ncbi.nlm.nih.gov/pubmed/18150790" TargetMode="External"/><Relationship Id="rId678" Type="http://schemas.openxmlformats.org/officeDocument/2006/relationships/hyperlink" Target="https://www.ncbi.nlm.nih.gov/pubmed/17947533" TargetMode="External"/><Relationship Id="rId28" Type="http://schemas.openxmlformats.org/officeDocument/2006/relationships/hyperlink" Target="https://www.ncbi.nlm.nih.gov/pubmed/16607002" TargetMode="External"/><Relationship Id="rId275" Type="http://schemas.openxmlformats.org/officeDocument/2006/relationships/hyperlink" Target="https://www.ncbi.nlm.nih.gov/pubmed/28068914" TargetMode="External"/><Relationship Id="rId300" Type="http://schemas.openxmlformats.org/officeDocument/2006/relationships/hyperlink" Target="https://www.ncbi.nlm.nih.gov/pubmed/15778036" TargetMode="External"/><Relationship Id="rId482" Type="http://schemas.openxmlformats.org/officeDocument/2006/relationships/hyperlink" Target="https://www.ncbi.nlm.nih.gov/pubmed/22522323" TargetMode="External"/><Relationship Id="rId538" Type="http://schemas.openxmlformats.org/officeDocument/2006/relationships/hyperlink" Target="https://www.ncbi.nlm.nih.gov/pubmed/21830071" TargetMode="External"/><Relationship Id="rId703" Type="http://schemas.openxmlformats.org/officeDocument/2006/relationships/hyperlink" Target="https://www.ncbi.nlm.nih.gov/pubmed/28488954" TargetMode="External"/><Relationship Id="rId745" Type="http://schemas.openxmlformats.org/officeDocument/2006/relationships/hyperlink" Target="https://www.ncbi.nlm.nih.gov/pubmed/16021308" TargetMode="External"/><Relationship Id="rId81" Type="http://schemas.openxmlformats.org/officeDocument/2006/relationships/hyperlink" Target="https://pubmed.ncbi.nlm.nih.gov/16972358/" TargetMode="External"/><Relationship Id="rId135" Type="http://schemas.openxmlformats.org/officeDocument/2006/relationships/hyperlink" Target="https://www.ncbi.nlm.nih.gov/pubmed/4206329/" TargetMode="External"/><Relationship Id="rId177" Type="http://schemas.openxmlformats.org/officeDocument/2006/relationships/hyperlink" Target="https://www.ncbi.nlm.nih.gov/pubmed/23302882" TargetMode="External"/><Relationship Id="rId342" Type="http://schemas.openxmlformats.org/officeDocument/2006/relationships/hyperlink" Target="https://www.ncbi.nlm.nih.gov/pubmed/20587198" TargetMode="External"/><Relationship Id="rId384" Type="http://schemas.openxmlformats.org/officeDocument/2006/relationships/hyperlink" Target="https://www.ncbi.nlm.nih.gov/pubmed/15034574" TargetMode="External"/><Relationship Id="rId591" Type="http://schemas.openxmlformats.org/officeDocument/2006/relationships/hyperlink" Target="https://www.ncbi.nlm.nih.gov/pubmed/16546454" TargetMode="External"/><Relationship Id="rId605" Type="http://schemas.openxmlformats.org/officeDocument/2006/relationships/hyperlink" Target="https://www.ncbi.nlm.nih.gov/pubmed/23006778" TargetMode="External"/><Relationship Id="rId787" Type="http://schemas.openxmlformats.org/officeDocument/2006/relationships/hyperlink" Target="https://pubmed.ncbi.nlm.nih.gov/6839405/" TargetMode="External"/><Relationship Id="rId202" Type="http://schemas.openxmlformats.org/officeDocument/2006/relationships/hyperlink" Target="https://www.ncbi.nlm.nih.gov/pubmed/3981" TargetMode="External"/><Relationship Id="rId244" Type="http://schemas.openxmlformats.org/officeDocument/2006/relationships/hyperlink" Target="https://www.ncbi.nlm.nih.gov/pubmed/1659238" TargetMode="External"/><Relationship Id="rId647" Type="http://schemas.openxmlformats.org/officeDocument/2006/relationships/hyperlink" Target="https://www.ncbi.nlm.nih.gov/pubmed/21645054" TargetMode="External"/><Relationship Id="rId689" Type="http://schemas.openxmlformats.org/officeDocument/2006/relationships/hyperlink" Target="https://www.ncbi.nlm.nih.gov/pubmed/11113383" TargetMode="External"/><Relationship Id="rId39" Type="http://schemas.openxmlformats.org/officeDocument/2006/relationships/hyperlink" Target="https://www.ncbi.nlm.nih.gov/pmc/articles/PMC3291350/" TargetMode="External"/><Relationship Id="rId286" Type="http://schemas.openxmlformats.org/officeDocument/2006/relationships/hyperlink" Target="https://www.ncbi.nlm.nih.gov/pubmed/11791973" TargetMode="External"/><Relationship Id="rId451" Type="http://schemas.openxmlformats.org/officeDocument/2006/relationships/hyperlink" Target="https://www.ncbi.nlm.nih.gov/pubmed/16145100" TargetMode="External"/><Relationship Id="rId493" Type="http://schemas.openxmlformats.org/officeDocument/2006/relationships/hyperlink" Target="https://www.ncbi.nlm.nih.gov/pubmed/13062068" TargetMode="External"/><Relationship Id="rId507" Type="http://schemas.openxmlformats.org/officeDocument/2006/relationships/hyperlink" Target="https://www.ncbi.nlm.nih.gov/pubmed/26658760" TargetMode="External"/><Relationship Id="rId549" Type="http://schemas.openxmlformats.org/officeDocument/2006/relationships/hyperlink" Target="https://www.ncbi.nlm.nih.gov/pubmed/25079078" TargetMode="External"/><Relationship Id="rId714" Type="http://schemas.openxmlformats.org/officeDocument/2006/relationships/hyperlink" Target="https://www.ncbi.nlm.nih.gov/pubmed/24756465" TargetMode="External"/><Relationship Id="rId756" Type="http://schemas.openxmlformats.org/officeDocument/2006/relationships/hyperlink" Target="https://www.ncbi.nlm.nih.gov/pubmed/17326938" TargetMode="External"/><Relationship Id="rId50" Type="http://schemas.openxmlformats.org/officeDocument/2006/relationships/hyperlink" Target="https://www.ncbi.nlm.nih.gov/pubmed/11463116" TargetMode="External"/><Relationship Id="rId104" Type="http://schemas.openxmlformats.org/officeDocument/2006/relationships/hyperlink" Target="https://www.ncbi.nlm.nih.gov/pubmed/28302313" TargetMode="External"/><Relationship Id="rId146" Type="http://schemas.openxmlformats.org/officeDocument/2006/relationships/hyperlink" Target="https://www.ncbi.nlm.nih.gov/pubmed/22989182" TargetMode="External"/><Relationship Id="rId188" Type="http://schemas.openxmlformats.org/officeDocument/2006/relationships/hyperlink" Target="https://www.ncbi.nlm.nih.gov/pubmed/20455779" TargetMode="External"/><Relationship Id="rId311" Type="http://schemas.openxmlformats.org/officeDocument/2006/relationships/hyperlink" Target="https://www.ncbi.nlm.nih.gov/pubmed/22214864" TargetMode="External"/><Relationship Id="rId353" Type="http://schemas.openxmlformats.org/officeDocument/2006/relationships/hyperlink" Target="https://www.ncbi.nlm.nih.gov/pubmed/28805733" TargetMode="External"/><Relationship Id="rId395" Type="http://schemas.openxmlformats.org/officeDocument/2006/relationships/hyperlink" Target="https://www.ncbi.nlm.nih.gov/pubmed/?term=19570951" TargetMode="External"/><Relationship Id="rId409" Type="http://schemas.openxmlformats.org/officeDocument/2006/relationships/hyperlink" Target="https://www.ncbi.nlm.nih.gov/pubmed/?term=13077697" TargetMode="External"/><Relationship Id="rId560" Type="http://schemas.openxmlformats.org/officeDocument/2006/relationships/hyperlink" Target="https://www.ncbi.nlm.nih.gov/pubmed/1928574" TargetMode="External"/><Relationship Id="rId92" Type="http://schemas.openxmlformats.org/officeDocument/2006/relationships/hyperlink" Target="https://www.ncbi.nlm.nih.gov/pubmed/18712810" TargetMode="External"/><Relationship Id="rId213" Type="http://schemas.openxmlformats.org/officeDocument/2006/relationships/hyperlink" Target="https://www.ncbi.nlm.nih.gov/pubmed/24633174" TargetMode="External"/><Relationship Id="rId420" Type="http://schemas.openxmlformats.org/officeDocument/2006/relationships/hyperlink" Target="https://www.ncbi.nlm.nih.gov/pubmed/28647173" TargetMode="External"/><Relationship Id="rId616" Type="http://schemas.openxmlformats.org/officeDocument/2006/relationships/hyperlink" Target="https://www.ncbi.nlm.nih.gov/pubmed/17311340" TargetMode="External"/><Relationship Id="rId658" Type="http://schemas.openxmlformats.org/officeDocument/2006/relationships/hyperlink" Target="https://www.ncbi.nlm.nih.gov/pubmed/23155478" TargetMode="External"/><Relationship Id="rId255" Type="http://schemas.openxmlformats.org/officeDocument/2006/relationships/hyperlink" Target="https://www.ncbi.nlm.nih.gov/pubmed/15018126" TargetMode="External"/><Relationship Id="rId297" Type="http://schemas.openxmlformats.org/officeDocument/2006/relationships/hyperlink" Target="https://www.ncbi.nlm.nih.gov/pubmed/19486319" TargetMode="External"/><Relationship Id="rId462" Type="http://schemas.openxmlformats.org/officeDocument/2006/relationships/hyperlink" Target="https://www.ncbi.nlm.nih.gov/pubmed/14106040/" TargetMode="External"/><Relationship Id="rId518" Type="http://schemas.openxmlformats.org/officeDocument/2006/relationships/hyperlink" Target="https://www.ncbi.nlm.nih.gov/pubmed/21752915" TargetMode="External"/><Relationship Id="rId725" Type="http://schemas.openxmlformats.org/officeDocument/2006/relationships/hyperlink" Target="https://www.ncbi.nlm.nih.gov/pubmed/26575627" TargetMode="External"/><Relationship Id="rId115" Type="http://schemas.openxmlformats.org/officeDocument/2006/relationships/hyperlink" Target="https://www.ncbi.nlm.nih.gov/pubmed/19033469" TargetMode="External"/><Relationship Id="rId157" Type="http://schemas.openxmlformats.org/officeDocument/2006/relationships/hyperlink" Target="https://www.ncbi.nlm.nih.gov/pubmed/27120472" TargetMode="External"/><Relationship Id="rId322" Type="http://schemas.openxmlformats.org/officeDocument/2006/relationships/hyperlink" Target="https://pubmed.ncbi.nlm.nih.gov/27278118/" TargetMode="External"/><Relationship Id="rId364" Type="http://schemas.openxmlformats.org/officeDocument/2006/relationships/hyperlink" Target="https://www.ncbi.nlm.nih.gov/pubmed/25192547" TargetMode="External"/><Relationship Id="rId767" Type="http://schemas.openxmlformats.org/officeDocument/2006/relationships/hyperlink" Target="https://www.ncbi.nlm.nih.gov/pubmed/8115796" TargetMode="External"/><Relationship Id="rId61" Type="http://schemas.openxmlformats.org/officeDocument/2006/relationships/hyperlink" Target="https://www.ncbi.nlm.nih.gov/pubmed/1263214" TargetMode="External"/><Relationship Id="rId199" Type="http://schemas.openxmlformats.org/officeDocument/2006/relationships/hyperlink" Target="https://www.ncbi.nlm.nih.gov/pubmed/26658066" TargetMode="External"/><Relationship Id="rId571" Type="http://schemas.openxmlformats.org/officeDocument/2006/relationships/hyperlink" Target="https://www.ncbi.nlm.nih.gov/pubmed/17245535" TargetMode="External"/><Relationship Id="rId627" Type="http://schemas.openxmlformats.org/officeDocument/2006/relationships/hyperlink" Target="https://www.ncbi.nlm.nih.gov/pubmed/8627240" TargetMode="External"/><Relationship Id="rId669" Type="http://schemas.openxmlformats.org/officeDocument/2006/relationships/hyperlink" Target="https://www.ncbi.nlm.nih.gov/pubmed/17658571" TargetMode="External"/><Relationship Id="rId19" Type="http://schemas.openxmlformats.org/officeDocument/2006/relationships/hyperlink" Target="https://www.ncbi.nlm.nih.gov/pmc/articles/PMC2626822/pdf/8903150.pdf" TargetMode="External"/><Relationship Id="rId224" Type="http://schemas.openxmlformats.org/officeDocument/2006/relationships/hyperlink" Target="https://www.ncbi.nlm.nih.gov/pubmed/28367789" TargetMode="External"/><Relationship Id="rId266" Type="http://schemas.openxmlformats.org/officeDocument/2006/relationships/hyperlink" Target="https://www.ncbi.nlm.nih.gov/pubmed/11438028" TargetMode="External"/><Relationship Id="rId431" Type="http://schemas.openxmlformats.org/officeDocument/2006/relationships/hyperlink" Target="https://www.ncbi.nlm.nih.gov/pubmed/20380897" TargetMode="External"/><Relationship Id="rId473" Type="http://schemas.openxmlformats.org/officeDocument/2006/relationships/hyperlink" Target="https://www.ncbi.nlm.nih.gov/pubmed/15938513" TargetMode="External"/><Relationship Id="rId529" Type="http://schemas.openxmlformats.org/officeDocument/2006/relationships/hyperlink" Target="https://www.ncbi.nlm.nih.gov/pubmed/9833886" TargetMode="External"/><Relationship Id="rId680" Type="http://schemas.openxmlformats.org/officeDocument/2006/relationships/hyperlink" Target="https://www.ncbi.nlm.nih.gov/pubmed/11113383" TargetMode="External"/><Relationship Id="rId736" Type="http://schemas.openxmlformats.org/officeDocument/2006/relationships/hyperlink" Target="https://www.ncbi.nlm.nih.gov/pubmed/26658594" TargetMode="External"/><Relationship Id="rId30" Type="http://schemas.openxmlformats.org/officeDocument/2006/relationships/hyperlink" Target="https://www.ncbi.nlm.nih.gov/pubmed/1259093" TargetMode="External"/><Relationship Id="rId126" Type="http://schemas.openxmlformats.org/officeDocument/2006/relationships/hyperlink" Target="https://www.ncbi.nlm.nih.gov/pubmed/19636367" TargetMode="External"/><Relationship Id="rId168" Type="http://schemas.openxmlformats.org/officeDocument/2006/relationships/hyperlink" Target="https://www.ncbi.nlm.nih.gov/pubmed/24901990" TargetMode="External"/><Relationship Id="rId333" Type="http://schemas.openxmlformats.org/officeDocument/2006/relationships/hyperlink" Target="https://www.ncbi.nlm.nih.gov/pubmed/28081564" TargetMode="External"/><Relationship Id="rId540" Type="http://schemas.openxmlformats.org/officeDocument/2006/relationships/hyperlink" Target="https://www.ncbi.nlm.nih.gov/pubmed/3140434" TargetMode="External"/><Relationship Id="rId778" Type="http://schemas.openxmlformats.org/officeDocument/2006/relationships/hyperlink" Target="https://www.ncbi.nlm.nih.gov/pubmed/26401988" TargetMode="External"/><Relationship Id="rId72" Type="http://schemas.openxmlformats.org/officeDocument/2006/relationships/hyperlink" Target="https://www.ncbi.nlm.nih.gov/pubmed/7446827" TargetMode="External"/><Relationship Id="rId375" Type="http://schemas.openxmlformats.org/officeDocument/2006/relationships/hyperlink" Target="https://www.ncbi.nlm.nih.gov/pubmed/4998616" TargetMode="External"/><Relationship Id="rId582" Type="http://schemas.openxmlformats.org/officeDocument/2006/relationships/hyperlink" Target="https://www.ncbi.nlm.nih.gov/pubmed/22883515" TargetMode="External"/><Relationship Id="rId638" Type="http://schemas.openxmlformats.org/officeDocument/2006/relationships/hyperlink" Target="https://www.ncbi.nlm.nih.gov/pubmed/22457530" TargetMode="External"/><Relationship Id="rId3" Type="http://schemas.openxmlformats.org/officeDocument/2006/relationships/hyperlink" Target="https://www.ncbi.nlm.nih.gov/pmc/articles/PMC5469153/" TargetMode="External"/><Relationship Id="rId235" Type="http://schemas.openxmlformats.org/officeDocument/2006/relationships/hyperlink" Target="https://www.ncbi.nlm.nih.gov/pubmed/6293325" TargetMode="External"/><Relationship Id="rId277" Type="http://schemas.openxmlformats.org/officeDocument/2006/relationships/hyperlink" Target="https://www.ncbi.nlm.nih.gov/pubmed/17947533" TargetMode="External"/><Relationship Id="rId400" Type="http://schemas.openxmlformats.org/officeDocument/2006/relationships/hyperlink" Target="https://www.ncbi.nlm.nih.gov/pubmed/?term=28220635" TargetMode="External"/><Relationship Id="rId442" Type="http://schemas.openxmlformats.org/officeDocument/2006/relationships/hyperlink" Target="https://www.ncbi.nlm.nih.gov/pubmed/23302882" TargetMode="External"/><Relationship Id="rId484" Type="http://schemas.openxmlformats.org/officeDocument/2006/relationships/hyperlink" Target="https://www.ncbi.nlm.nih.gov/pubmed/25781465" TargetMode="External"/><Relationship Id="rId705" Type="http://schemas.openxmlformats.org/officeDocument/2006/relationships/hyperlink" Target="https://www.ncbi.nlm.nih.gov/pubmed/23552411" TargetMode="External"/><Relationship Id="rId137" Type="http://schemas.openxmlformats.org/officeDocument/2006/relationships/hyperlink" Target="https://www.ncbi.nlm.nih.gov/pubmed/6261689/" TargetMode="External"/><Relationship Id="rId302" Type="http://schemas.openxmlformats.org/officeDocument/2006/relationships/hyperlink" Target="https://www.ncbi.nlm.nih.gov/pubmed/10466964" TargetMode="External"/><Relationship Id="rId344" Type="http://schemas.openxmlformats.org/officeDocument/2006/relationships/hyperlink" Target="https://www.ncbi.nlm.nih.gov/pubmed/27641729" TargetMode="External"/><Relationship Id="rId691" Type="http://schemas.openxmlformats.org/officeDocument/2006/relationships/hyperlink" Target="https://www.ncbi.nlm.nih.gov/pubmed/24285662" TargetMode="External"/><Relationship Id="rId747" Type="http://schemas.openxmlformats.org/officeDocument/2006/relationships/hyperlink" Target="https://www.ncbi.nlm.nih.gov/pubmed/20889861" TargetMode="External"/><Relationship Id="rId789" Type="http://schemas.openxmlformats.org/officeDocument/2006/relationships/hyperlink" Target="https://pubmed.ncbi.nlm.nih.gov/36687574/" TargetMode="External"/><Relationship Id="rId41" Type="http://schemas.openxmlformats.org/officeDocument/2006/relationships/hyperlink" Target="https://www.ncbi.nlm.nih.gov/pubmed/4082267" TargetMode="External"/><Relationship Id="rId83" Type="http://schemas.openxmlformats.org/officeDocument/2006/relationships/hyperlink" Target="https://pubmed.ncbi.nlm.nih.gov/35133905/" TargetMode="External"/><Relationship Id="rId179" Type="http://schemas.openxmlformats.org/officeDocument/2006/relationships/hyperlink" Target="https://www.ncbi.nlm.nih.gov/pubmed/23474474" TargetMode="External"/><Relationship Id="rId386" Type="http://schemas.openxmlformats.org/officeDocument/2006/relationships/hyperlink" Target="https://www.ncbi.nlm.nih.gov/pubmed/29846148" TargetMode="External"/><Relationship Id="rId551" Type="http://schemas.openxmlformats.org/officeDocument/2006/relationships/hyperlink" Target="https://www.ncbi.nlm.nih.gov/pubmed/15778036" TargetMode="External"/><Relationship Id="rId593" Type="http://schemas.openxmlformats.org/officeDocument/2006/relationships/hyperlink" Target="https://www.ncbi.nlm.nih.gov/pubmed/22931153" TargetMode="External"/><Relationship Id="rId607" Type="http://schemas.openxmlformats.org/officeDocument/2006/relationships/hyperlink" Target="https://www.ncbi.nlm.nih.gov/pubmed/11243752" TargetMode="External"/><Relationship Id="rId649" Type="http://schemas.openxmlformats.org/officeDocument/2006/relationships/hyperlink" Target="https://www.ncbi.nlm.nih.gov/pubmed/12939793" TargetMode="External"/><Relationship Id="rId190" Type="http://schemas.openxmlformats.org/officeDocument/2006/relationships/hyperlink" Target="https://www.ncbi.nlm.nih.gov/pubmed/24056604" TargetMode="External"/><Relationship Id="rId204" Type="http://schemas.openxmlformats.org/officeDocument/2006/relationships/hyperlink" Target="https://www.ncbi.nlm.nih.gov/pubmed/24475112" TargetMode="External"/><Relationship Id="rId246" Type="http://schemas.openxmlformats.org/officeDocument/2006/relationships/hyperlink" Target="https://www.ncbi.nlm.nih.gov/pubmed/18240970" TargetMode="External"/><Relationship Id="rId288" Type="http://schemas.openxmlformats.org/officeDocument/2006/relationships/hyperlink" Target="https://www.ncbi.nlm.nih.gov/pubmed/10930658" TargetMode="External"/><Relationship Id="rId411" Type="http://schemas.openxmlformats.org/officeDocument/2006/relationships/hyperlink" Target="https://www.ncbi.nlm.nih.gov/pubmed/11113383" TargetMode="External"/><Relationship Id="rId453" Type="http://schemas.openxmlformats.org/officeDocument/2006/relationships/hyperlink" Target="https://www.ncbi.nlm.nih.gov/pubmed/10072155" TargetMode="External"/><Relationship Id="rId509" Type="http://schemas.openxmlformats.org/officeDocument/2006/relationships/hyperlink" Target="https://www.ncbi.nlm.nih.gov/pubmed/18360907" TargetMode="External"/><Relationship Id="rId660" Type="http://schemas.openxmlformats.org/officeDocument/2006/relationships/hyperlink" Target="https://www.ncbi.nlm.nih.gov/pubmed/16953877" TargetMode="External"/><Relationship Id="rId106" Type="http://schemas.openxmlformats.org/officeDocument/2006/relationships/hyperlink" Target="https://www.ncbi.nlm.nih.gov/pubmed/12615305" TargetMode="External"/><Relationship Id="rId313" Type="http://schemas.openxmlformats.org/officeDocument/2006/relationships/hyperlink" Target="https://www.ncbi.nlm.nih.gov/pubmed/12789111" TargetMode="External"/><Relationship Id="rId495" Type="http://schemas.openxmlformats.org/officeDocument/2006/relationships/hyperlink" Target="https://www.ncbi.nlm.nih.gov/pubmed/26982388" TargetMode="External"/><Relationship Id="rId716" Type="http://schemas.openxmlformats.org/officeDocument/2006/relationships/hyperlink" Target="https://www.ncbi.nlm.nih.gov/pubmed/23110096" TargetMode="External"/><Relationship Id="rId758" Type="http://schemas.openxmlformats.org/officeDocument/2006/relationships/hyperlink" Target="https://www.ncbi.nlm.nih.gov/pubmed/23505588" TargetMode="External"/><Relationship Id="rId10" Type="http://schemas.openxmlformats.org/officeDocument/2006/relationships/hyperlink" Target="https://www.ncbi.nlm.nih.gov/pmc/articles/PMC5906542/" TargetMode="External"/><Relationship Id="rId52" Type="http://schemas.openxmlformats.org/officeDocument/2006/relationships/hyperlink" Target="https://www.ncbi.nlm.nih.gov/pubmed/22310545" TargetMode="External"/><Relationship Id="rId94" Type="http://schemas.openxmlformats.org/officeDocument/2006/relationships/hyperlink" Target="https://www.ncbi.nlm.nih.gov/pubmed/16216136" TargetMode="External"/><Relationship Id="rId148" Type="http://schemas.openxmlformats.org/officeDocument/2006/relationships/hyperlink" Target="https://www.ncbi.nlm.nih.gov/pubmed/22989182" TargetMode="External"/><Relationship Id="rId355" Type="http://schemas.openxmlformats.org/officeDocument/2006/relationships/hyperlink" Target="https://www.ncbi.nlm.nih.gov/pubmed/25147276" TargetMode="External"/><Relationship Id="rId397" Type="http://schemas.openxmlformats.org/officeDocument/2006/relationships/hyperlink" Target="https://www.ncbi.nlm.nih.gov/pubmed/?term=1657626" TargetMode="External"/><Relationship Id="rId520" Type="http://schemas.openxmlformats.org/officeDocument/2006/relationships/hyperlink" Target="https://www.ncbi.nlm.nih.gov/pubmed/22362949" TargetMode="External"/><Relationship Id="rId562" Type="http://schemas.openxmlformats.org/officeDocument/2006/relationships/hyperlink" Target="https://www.ncbi.nlm.nih.gov/pubmed/19065353" TargetMode="External"/><Relationship Id="rId618" Type="http://schemas.openxmlformats.org/officeDocument/2006/relationships/hyperlink" Target="https://www.ncbi.nlm.nih.gov/pubmed/17311340" TargetMode="External"/><Relationship Id="rId215" Type="http://schemas.openxmlformats.org/officeDocument/2006/relationships/hyperlink" Target="https://www.ncbi.nlm.nih.gov/pubmed/19386708" TargetMode="External"/><Relationship Id="rId257" Type="http://schemas.openxmlformats.org/officeDocument/2006/relationships/hyperlink" Target="https://www.ncbi.nlm.nih.gov/pubmed/4206329" TargetMode="External"/><Relationship Id="rId422" Type="http://schemas.openxmlformats.org/officeDocument/2006/relationships/hyperlink" Target="https://www.ncbi.nlm.nih.gov/pubmed/26658760" TargetMode="External"/><Relationship Id="rId464" Type="http://schemas.openxmlformats.org/officeDocument/2006/relationships/hyperlink" Target="https://www.ncbi.nlm.nih.gov/pubmed/?term=Nyando+virus%3A+A+hitherto+undescribed+virus+isolated+fromAnopheles+funestus+giles+collected+in+Kenya" TargetMode="External"/><Relationship Id="rId299" Type="http://schemas.openxmlformats.org/officeDocument/2006/relationships/hyperlink" Target="https://www.ncbi.nlm.nih.gov/pubmed/15778036" TargetMode="External"/><Relationship Id="rId727" Type="http://schemas.openxmlformats.org/officeDocument/2006/relationships/hyperlink" Target="https://www.ncbi.nlm.nih.gov/pubmed/24901990" TargetMode="External"/><Relationship Id="rId63" Type="http://schemas.openxmlformats.org/officeDocument/2006/relationships/hyperlink" Target="https://www.ncbi.nlm.nih.gov/pubmed/13005679" TargetMode="External"/><Relationship Id="rId159" Type="http://schemas.openxmlformats.org/officeDocument/2006/relationships/hyperlink" Target="https://www.ncbi.nlm.nih.gov/pubmed/25569474" TargetMode="External"/><Relationship Id="rId366" Type="http://schemas.openxmlformats.org/officeDocument/2006/relationships/hyperlink" Target="https://www.ncbi.nlm.nih.gov/pubmed/22612895" TargetMode="External"/><Relationship Id="rId573" Type="http://schemas.openxmlformats.org/officeDocument/2006/relationships/hyperlink" Target="https://www.ncbi.nlm.nih.gov/pubmed/11359196" TargetMode="External"/><Relationship Id="rId780" Type="http://schemas.openxmlformats.org/officeDocument/2006/relationships/hyperlink" Target="https://pubmed.ncbi.nlm.nih.gov/27723176/" TargetMode="External"/><Relationship Id="rId226" Type="http://schemas.openxmlformats.org/officeDocument/2006/relationships/hyperlink" Target="https://www.ncbi.nlm.nih.gov/pubmed/26053872" TargetMode="External"/><Relationship Id="rId433" Type="http://schemas.openxmlformats.org/officeDocument/2006/relationships/hyperlink" Target="https://www.ncbi.nlm.nih.gov/pubmed/17182762" TargetMode="External"/><Relationship Id="rId640" Type="http://schemas.openxmlformats.org/officeDocument/2006/relationships/hyperlink" Target="https://www.ncbi.nlm.nih.gov/pubmed/17360861" TargetMode="External"/><Relationship Id="rId738" Type="http://schemas.openxmlformats.org/officeDocument/2006/relationships/hyperlink" Target="https://www.ncbi.nlm.nih.gov/pubmed/23028323" TargetMode="External"/><Relationship Id="rId74" Type="http://schemas.openxmlformats.org/officeDocument/2006/relationships/hyperlink" Target="https://www.ncbi.nlm.nih.gov/pubmed/4122382" TargetMode="External"/><Relationship Id="rId377" Type="http://schemas.openxmlformats.org/officeDocument/2006/relationships/hyperlink" Target="https://www.ncbi.nlm.nih.gov/pubmed/19239759" TargetMode="External"/><Relationship Id="rId500" Type="http://schemas.openxmlformats.org/officeDocument/2006/relationships/hyperlink" Target="https://www.ncbi.nlm.nih.gov/pubmed/28549438" TargetMode="External"/><Relationship Id="rId584" Type="http://schemas.openxmlformats.org/officeDocument/2006/relationships/hyperlink" Target="https://www.ncbi.nlm.nih.gov/pubmed/3143273" TargetMode="External"/><Relationship Id="rId5" Type="http://schemas.openxmlformats.org/officeDocument/2006/relationships/hyperlink" Target="https://www.ncbi.nlm.nih.gov/pmc/articles/PMC3310660/" TargetMode="External"/><Relationship Id="rId237" Type="http://schemas.openxmlformats.org/officeDocument/2006/relationships/hyperlink" Target="https://www.ncbi.nlm.nih.gov/pubmed/26154788" TargetMode="External"/><Relationship Id="rId444" Type="http://schemas.openxmlformats.org/officeDocument/2006/relationships/hyperlink" Target="https://www.ncbi.nlm.nih.gov/pubmed/23152534" TargetMode="External"/><Relationship Id="rId651" Type="http://schemas.openxmlformats.org/officeDocument/2006/relationships/hyperlink" Target="https://www.ncbi.nlm.nih.gov/pubmed/19485797" TargetMode="External"/><Relationship Id="rId749" Type="http://schemas.openxmlformats.org/officeDocument/2006/relationships/hyperlink" Target="https://www.ncbi.nlm.nih.gov/pubmed/19033469" TargetMode="External"/><Relationship Id="rId290" Type="http://schemas.openxmlformats.org/officeDocument/2006/relationships/hyperlink" Target="https://www.ncbi.nlm.nih.gov/pubmed/16705370" TargetMode="External"/><Relationship Id="rId304" Type="http://schemas.openxmlformats.org/officeDocument/2006/relationships/hyperlink" Target="https://www.ncbi.nlm.nih.gov/pubmed/22526290" TargetMode="External"/><Relationship Id="rId388" Type="http://schemas.openxmlformats.org/officeDocument/2006/relationships/hyperlink" Target="https://www.ncbi.nlm.nih.gov/pubmed/?term=26336062" TargetMode="External"/><Relationship Id="rId511" Type="http://schemas.openxmlformats.org/officeDocument/2006/relationships/hyperlink" Target="https://pubmed.ncbi.nlm.nih.gov/33815379/" TargetMode="External"/><Relationship Id="rId609" Type="http://schemas.openxmlformats.org/officeDocument/2006/relationships/hyperlink" Target="https://www.ncbi.nlm.nih.gov/pubmed/22996737" TargetMode="External"/><Relationship Id="rId85" Type="http://schemas.openxmlformats.org/officeDocument/2006/relationships/hyperlink" Target="https://www.ncbi.nlm.nih.gov/pubmed/10747269" TargetMode="External"/><Relationship Id="rId150" Type="http://schemas.openxmlformats.org/officeDocument/2006/relationships/hyperlink" Target="https://www.ncbi.nlm.nih.gov/pubmed/23268691" TargetMode="External"/><Relationship Id="rId595" Type="http://schemas.openxmlformats.org/officeDocument/2006/relationships/hyperlink" Target="https://www.ncbi.nlm.nih.gov/pubmed/15448364" TargetMode="External"/><Relationship Id="rId248" Type="http://schemas.openxmlformats.org/officeDocument/2006/relationships/hyperlink" Target="https://www.ncbi.nlm.nih.gov/pubmed/22526290" TargetMode="External"/><Relationship Id="rId455" Type="http://schemas.openxmlformats.org/officeDocument/2006/relationships/hyperlink" Target="https://www.ncbi.nlm.nih.gov/pubmed/638547" TargetMode="External"/><Relationship Id="rId662" Type="http://schemas.openxmlformats.org/officeDocument/2006/relationships/hyperlink" Target="https://www.ncbi.nlm.nih.gov/pubmed/17182762" TargetMode="External"/><Relationship Id="rId12" Type="http://schemas.openxmlformats.org/officeDocument/2006/relationships/hyperlink" Target="https://www.nature.com/articles/208304a0.pdf" TargetMode="External"/><Relationship Id="rId108" Type="http://schemas.openxmlformats.org/officeDocument/2006/relationships/hyperlink" Target="https://www.ncbi.nlm.nih.gov/pubmed/15487592" TargetMode="External"/><Relationship Id="rId315" Type="http://schemas.openxmlformats.org/officeDocument/2006/relationships/hyperlink" Target="https://www.ncbi.nlm.nih.gov/pubmed/19833455" TargetMode="External"/><Relationship Id="rId522" Type="http://schemas.openxmlformats.org/officeDocument/2006/relationships/hyperlink" Target="https://www.ncbi.nlm.nih.gov/pubmed/19501478" TargetMode="External"/><Relationship Id="rId96" Type="http://schemas.openxmlformats.org/officeDocument/2006/relationships/hyperlink" Target="https://www.ncbi.nlm.nih.gov/pubmed/28095926" TargetMode="External"/><Relationship Id="rId161" Type="http://schemas.openxmlformats.org/officeDocument/2006/relationships/hyperlink" Target="https://www.ncbi.nlm.nih.gov/pubmed/24134941" TargetMode="External"/><Relationship Id="rId399" Type="http://schemas.openxmlformats.org/officeDocument/2006/relationships/hyperlink" Target="https://www.ncbi.nlm.nih.gov/pubmed/?term=27794390" TargetMode="External"/><Relationship Id="rId259" Type="http://schemas.openxmlformats.org/officeDocument/2006/relationships/hyperlink" Target="https://www.ncbi.nlm.nih.gov/pubmed/22855483" TargetMode="External"/><Relationship Id="rId466" Type="http://schemas.openxmlformats.org/officeDocument/2006/relationships/hyperlink" Target="https://www.ncbi.nlm.nih.gov/pubmed/8115796/" TargetMode="External"/><Relationship Id="rId673" Type="http://schemas.openxmlformats.org/officeDocument/2006/relationships/hyperlink" Target="https://www.ncbi.nlm.nih.gov/pubmed/2863991" TargetMode="External"/><Relationship Id="rId23" Type="http://schemas.openxmlformats.org/officeDocument/2006/relationships/hyperlink" Target="https://www.ncbi.nlm.nih.gov/pubmed/8610461" TargetMode="External"/><Relationship Id="rId119" Type="http://schemas.openxmlformats.org/officeDocument/2006/relationships/hyperlink" Target="https://www.ncbi.nlm.nih.gov/pubmed/27101567" TargetMode="External"/><Relationship Id="rId326" Type="http://schemas.openxmlformats.org/officeDocument/2006/relationships/hyperlink" Target="https://pubmed.ncbi.nlm.nih.gov/27723176/" TargetMode="External"/><Relationship Id="rId533" Type="http://schemas.openxmlformats.org/officeDocument/2006/relationships/hyperlink" Target="https://www.ncbi.nlm.nih.gov/pubmed/22721825" TargetMode="External"/><Relationship Id="rId740" Type="http://schemas.openxmlformats.org/officeDocument/2006/relationships/hyperlink" Target="https://www.ncbi.nlm.nih.gov/pubmed/25889358" TargetMode="External"/><Relationship Id="rId172" Type="http://schemas.openxmlformats.org/officeDocument/2006/relationships/hyperlink" Target="https://www.ncbi.nlm.nih.gov/pubmed/18205973" TargetMode="External"/><Relationship Id="rId477" Type="http://schemas.openxmlformats.org/officeDocument/2006/relationships/hyperlink" Target="https://www.ncbi.nlm.nih.gov/pubmed/15929402" TargetMode="External"/><Relationship Id="rId600" Type="http://schemas.openxmlformats.org/officeDocument/2006/relationships/hyperlink" Target="https://www.ncbi.nlm.nih.gov/pubmed/28653496" TargetMode="External"/><Relationship Id="rId684" Type="http://schemas.openxmlformats.org/officeDocument/2006/relationships/hyperlink" Target="https://www.ncbi.nlm.nih.gov/pubmed/26154788" TargetMode="External"/><Relationship Id="rId337" Type="http://schemas.openxmlformats.org/officeDocument/2006/relationships/hyperlink" Target="https://www.ncbi.nlm.nih.gov/pubmed/29350142" TargetMode="External"/><Relationship Id="rId34" Type="http://schemas.openxmlformats.org/officeDocument/2006/relationships/hyperlink" Target="https://www.ncbi.nlm.nih.gov/pubmed/22432670" TargetMode="External"/><Relationship Id="rId544" Type="http://schemas.openxmlformats.org/officeDocument/2006/relationships/hyperlink" Target="https://www.ncbi.nlm.nih.gov/pubmed/22877560" TargetMode="External"/><Relationship Id="rId751" Type="http://schemas.openxmlformats.org/officeDocument/2006/relationships/hyperlink" Target="https://www.ncbi.nlm.nih.gov/pubmed/22615791" TargetMode="External"/><Relationship Id="rId183" Type="http://schemas.openxmlformats.org/officeDocument/2006/relationships/hyperlink" Target="https://www.ncbi.nlm.nih.gov/pubmed/25052008" TargetMode="External"/><Relationship Id="rId390" Type="http://schemas.openxmlformats.org/officeDocument/2006/relationships/hyperlink" Target="https://www.ncbi.nlm.nih.gov/pubmed/23155478" TargetMode="External"/><Relationship Id="rId404" Type="http://schemas.openxmlformats.org/officeDocument/2006/relationships/hyperlink" Target="https://www.ncbi.nlm.nih.gov/pubmed/?term=29044370" TargetMode="External"/><Relationship Id="rId611" Type="http://schemas.openxmlformats.org/officeDocument/2006/relationships/hyperlink" Target="https://www.ncbi.nlm.nih.gov/pubmed/10466973" TargetMode="External"/><Relationship Id="rId250" Type="http://schemas.openxmlformats.org/officeDocument/2006/relationships/hyperlink" Target="https://www.ncbi.nlm.nih.gov/pubmed/10024977" TargetMode="External"/><Relationship Id="rId488" Type="http://schemas.openxmlformats.org/officeDocument/2006/relationships/hyperlink" Target="https://www.ncbi.nlm.nih.gov/pubmed/28829253" TargetMode="External"/><Relationship Id="rId695" Type="http://schemas.openxmlformats.org/officeDocument/2006/relationships/hyperlink" Target="https://www.ncbi.nlm.nih.gov/pubmed/10769073" TargetMode="External"/><Relationship Id="rId709" Type="http://schemas.openxmlformats.org/officeDocument/2006/relationships/hyperlink" Target="https://www.ncbi.nlm.nih.gov/pubmed/24451093" TargetMode="External"/><Relationship Id="rId45" Type="http://schemas.openxmlformats.org/officeDocument/2006/relationships/hyperlink" Target="https://www.ncbi.nlm.nih.gov/pmc/articles/PMC2141559/" TargetMode="External"/><Relationship Id="rId110" Type="http://schemas.openxmlformats.org/officeDocument/2006/relationships/hyperlink" Target="https://www.ncbi.nlm.nih.gov/pubmed/24929750" TargetMode="External"/><Relationship Id="rId348" Type="http://schemas.openxmlformats.org/officeDocument/2006/relationships/hyperlink" Target="https://www.ncbi.nlm.nih.gov/pubmed/24662675" TargetMode="External"/><Relationship Id="rId555" Type="http://schemas.openxmlformats.org/officeDocument/2006/relationships/hyperlink" Target="https://www.ncbi.nlm.nih.gov/pubmed/16318717" TargetMode="External"/><Relationship Id="rId762" Type="http://schemas.openxmlformats.org/officeDocument/2006/relationships/hyperlink" Target="https://www.ncbi.nlm.nih.gov/pubmed/19402767" TargetMode="External"/><Relationship Id="rId194" Type="http://schemas.openxmlformats.org/officeDocument/2006/relationships/hyperlink" Target="https://www.ncbi.nlm.nih.gov/pubmed/22278828" TargetMode="External"/><Relationship Id="rId208" Type="http://schemas.openxmlformats.org/officeDocument/2006/relationships/hyperlink" Target="https://www.ncbi.nlm.nih.gov/pubmed/28606155" TargetMode="External"/><Relationship Id="rId415" Type="http://schemas.openxmlformats.org/officeDocument/2006/relationships/hyperlink" Target="https://www.ncbi.nlm.nih.gov/pubmed/22924442" TargetMode="External"/><Relationship Id="rId622" Type="http://schemas.openxmlformats.org/officeDocument/2006/relationships/hyperlink" Target="https://www.ncbi.nlm.nih.gov/pubmed/6747282" TargetMode="External"/><Relationship Id="rId261" Type="http://schemas.openxmlformats.org/officeDocument/2006/relationships/hyperlink" Target="https://www.ncbi.nlm.nih.gov/pubmed/10024977" TargetMode="External"/><Relationship Id="rId499" Type="http://schemas.openxmlformats.org/officeDocument/2006/relationships/hyperlink" Target="https://www.ncbi.nlm.nih.gov/pubmed/11189720" TargetMode="External"/><Relationship Id="rId56" Type="http://schemas.openxmlformats.org/officeDocument/2006/relationships/hyperlink" Target="https://www.ncbi.nlm.nih.gov/pubmed/6091472" TargetMode="External"/><Relationship Id="rId359" Type="http://schemas.openxmlformats.org/officeDocument/2006/relationships/hyperlink" Target="https://www.ncbi.nlm.nih.gov/pubmed/18252101" TargetMode="External"/><Relationship Id="rId566" Type="http://schemas.openxmlformats.org/officeDocument/2006/relationships/hyperlink" Target="https://www.ncbi.nlm.nih.gov/pubmed/23161446" TargetMode="External"/><Relationship Id="rId773" Type="http://schemas.openxmlformats.org/officeDocument/2006/relationships/hyperlink" Target="https://www.ncbi.nlm.nih.gov/pubmed/26658760" TargetMode="External"/><Relationship Id="rId121" Type="http://schemas.openxmlformats.org/officeDocument/2006/relationships/hyperlink" Target="https://www.ncbi.nlm.nih.gov/pubmed/27631733" TargetMode="External"/><Relationship Id="rId219" Type="http://schemas.openxmlformats.org/officeDocument/2006/relationships/hyperlink" Target="https://www.ncbi.nlm.nih.gov/pubmed/26556276" TargetMode="External"/><Relationship Id="rId426" Type="http://schemas.openxmlformats.org/officeDocument/2006/relationships/hyperlink" Target="https://www.ncbi.nlm.nih.gov/pubmed/15004109" TargetMode="External"/><Relationship Id="rId633" Type="http://schemas.openxmlformats.org/officeDocument/2006/relationships/hyperlink" Target="https://www.ncbi.nlm.nih.gov/pubmed/10024977" TargetMode="External"/><Relationship Id="rId67" Type="http://schemas.openxmlformats.org/officeDocument/2006/relationships/hyperlink" Target="https://www.ncbi.nlm.nih.gov/pubmed/22526290" TargetMode="External"/><Relationship Id="rId272" Type="http://schemas.openxmlformats.org/officeDocument/2006/relationships/hyperlink" Target="https://www.ncbi.nlm.nih.gov/pubmed/22905211" TargetMode="External"/><Relationship Id="rId577" Type="http://schemas.openxmlformats.org/officeDocument/2006/relationships/hyperlink" Target="https://www.ncbi.nlm.nih.gov/pubmed/25673727" TargetMode="External"/><Relationship Id="rId700" Type="http://schemas.openxmlformats.org/officeDocument/2006/relationships/hyperlink" Target="https://www.ncbi.nlm.nih.gov/pubmed/19706703" TargetMode="External"/><Relationship Id="rId132" Type="http://schemas.openxmlformats.org/officeDocument/2006/relationships/hyperlink" Target="https://www.ncbi.nlm.nih.gov/pubmed/15911757/" TargetMode="External"/><Relationship Id="rId784" Type="http://schemas.openxmlformats.org/officeDocument/2006/relationships/hyperlink" Target="https://pubmed.ncbi.nlm.nih.gov/33496245/" TargetMode="External"/><Relationship Id="rId437" Type="http://schemas.openxmlformats.org/officeDocument/2006/relationships/hyperlink" Target="https://www.ncbi.nlm.nih.gov/pubmed/17124002" TargetMode="External"/><Relationship Id="rId644" Type="http://schemas.openxmlformats.org/officeDocument/2006/relationships/hyperlink" Target="https://www.ncbi.nlm.nih.gov/pubmed/22855483" TargetMode="External"/><Relationship Id="rId283" Type="http://schemas.openxmlformats.org/officeDocument/2006/relationships/hyperlink" Target="https://www.ncbi.nlm.nih.gov/pubmed/23223618" TargetMode="External"/><Relationship Id="rId490" Type="http://schemas.openxmlformats.org/officeDocument/2006/relationships/hyperlink" Target="https://www.ncbi.nlm.nih.gov/pubmed/20085692" TargetMode="External"/><Relationship Id="rId504" Type="http://schemas.openxmlformats.org/officeDocument/2006/relationships/hyperlink" Target="https://www.ncbi.nlm.nih.gov/pubmed/?term=15178190" TargetMode="External"/><Relationship Id="rId711" Type="http://schemas.openxmlformats.org/officeDocument/2006/relationships/hyperlink" Target="https://www.ncbi.nlm.nih.gov/pubmed/10516034" TargetMode="External"/><Relationship Id="rId78" Type="http://schemas.openxmlformats.org/officeDocument/2006/relationships/hyperlink" Target="https://pubmed.ncbi.nlm.nih.gov/38004319/" TargetMode="External"/><Relationship Id="rId143" Type="http://schemas.openxmlformats.org/officeDocument/2006/relationships/hyperlink" Target="https://www.ncbi.nlm.nih.gov/pubmed/22864548/" TargetMode="External"/><Relationship Id="rId350" Type="http://schemas.openxmlformats.org/officeDocument/2006/relationships/hyperlink" Target="https://www.ncbi.nlm.nih.gov/pubmed/2122998" TargetMode="External"/><Relationship Id="rId588" Type="http://schemas.openxmlformats.org/officeDocument/2006/relationships/hyperlink" Target="https://www.ncbi.nlm.nih.gov/pubmed/24475112" TargetMode="External"/><Relationship Id="rId9" Type="http://schemas.openxmlformats.org/officeDocument/2006/relationships/hyperlink" Target="https://www.sciencedirect.com/science/article/pii/S1567134811001079?via%3Dihub" TargetMode="External"/><Relationship Id="rId210" Type="http://schemas.openxmlformats.org/officeDocument/2006/relationships/hyperlink" Target="https://www.ncbi.nlm.nih.gov/pubmed/19706703" TargetMode="External"/><Relationship Id="rId448" Type="http://schemas.openxmlformats.org/officeDocument/2006/relationships/hyperlink" Target="https://www.ncbi.nlm.nih.gov/pubmed/?term=24447466" TargetMode="External"/><Relationship Id="rId655" Type="http://schemas.openxmlformats.org/officeDocument/2006/relationships/hyperlink" Target="https://www.ncbi.nlm.nih.gov/pubmed/10024977" TargetMode="External"/><Relationship Id="rId294" Type="http://schemas.openxmlformats.org/officeDocument/2006/relationships/hyperlink" Target="https://www.ncbi.nlm.nih.gov/pubmed/22874773" TargetMode="External"/><Relationship Id="rId308" Type="http://schemas.openxmlformats.org/officeDocument/2006/relationships/hyperlink" Target="https://www.ncbi.nlm.nih.gov/pubmed/20519386" TargetMode="External"/><Relationship Id="rId515" Type="http://schemas.openxmlformats.org/officeDocument/2006/relationships/hyperlink" Target="https://www.ncbi.nlm.nih.gov/pubmed/22486922" TargetMode="External"/><Relationship Id="rId722" Type="http://schemas.openxmlformats.org/officeDocument/2006/relationships/hyperlink" Target="https://www.ncbi.nlm.nih.gov/pubmed/23474474" TargetMode="External"/><Relationship Id="rId89" Type="http://schemas.openxmlformats.org/officeDocument/2006/relationships/hyperlink" Target="https://www.ncbi.nlm.nih.gov/pubmed/205151" TargetMode="External"/><Relationship Id="rId154" Type="http://schemas.openxmlformats.org/officeDocument/2006/relationships/hyperlink" Target="https://www.ncbi.nlm.nih.gov/pubmed/?term=4335268" TargetMode="External"/><Relationship Id="rId361" Type="http://schemas.openxmlformats.org/officeDocument/2006/relationships/hyperlink" Target="https://www.ncbi.nlm.nih.gov/pubmed/12241782" TargetMode="External"/><Relationship Id="rId599" Type="http://schemas.openxmlformats.org/officeDocument/2006/relationships/hyperlink" Target="https://www.ncbi.nlm.nih.gov/pubmed/14609474" TargetMode="External"/><Relationship Id="rId459" Type="http://schemas.openxmlformats.org/officeDocument/2006/relationships/hyperlink" Target="https://www.ncbi.nlm.nih.gov/pubmed/22526290" TargetMode="External"/><Relationship Id="rId666" Type="http://schemas.openxmlformats.org/officeDocument/2006/relationships/hyperlink" Target="https://www.ncbi.nlm.nih.gov/pubmed/19889769" TargetMode="External"/><Relationship Id="rId16" Type="http://schemas.openxmlformats.org/officeDocument/2006/relationships/hyperlink" Target="https://www.ncbi.nlm.nih.gov/pmc/articles/PMC4111194/" TargetMode="External"/><Relationship Id="rId221" Type="http://schemas.openxmlformats.org/officeDocument/2006/relationships/hyperlink" Target="https://www.ncbi.nlm.nih.gov/pubmed/234206" TargetMode="External"/><Relationship Id="rId319" Type="http://schemas.openxmlformats.org/officeDocument/2006/relationships/hyperlink" Target="https://www.ncbi.nlm.nih.gov/pubmed/3034087" TargetMode="External"/><Relationship Id="rId526" Type="http://schemas.openxmlformats.org/officeDocument/2006/relationships/hyperlink" Target="https://www.ncbi.nlm.nih.gov/pubmed/21289119" TargetMode="External"/><Relationship Id="rId733" Type="http://schemas.openxmlformats.org/officeDocument/2006/relationships/hyperlink" Target="https://www.ncbi.nlm.nih.gov/pubmed/25091145" TargetMode="External"/><Relationship Id="rId165" Type="http://schemas.openxmlformats.org/officeDocument/2006/relationships/hyperlink" Target="https://www.ncbi.nlm.nih.gov/pubmed/25031335" TargetMode="External"/><Relationship Id="rId372" Type="http://schemas.openxmlformats.org/officeDocument/2006/relationships/hyperlink" Target="https://www.ncbi.nlm.nih.gov/pubmed/25393244/" TargetMode="External"/><Relationship Id="rId677" Type="http://schemas.openxmlformats.org/officeDocument/2006/relationships/hyperlink" Target="https://www.ncbi.nlm.nih.gov/pubmed/2863991" TargetMode="External"/><Relationship Id="rId232" Type="http://schemas.openxmlformats.org/officeDocument/2006/relationships/hyperlink" Target="https://www.ncbi.nlm.nih.gov/pubmed/21435229" TargetMode="External"/><Relationship Id="rId27" Type="http://schemas.openxmlformats.org/officeDocument/2006/relationships/hyperlink" Target="https://www.ncbi.nlm.nih.gov/pubmed/25276943" TargetMode="External"/><Relationship Id="rId537" Type="http://schemas.openxmlformats.org/officeDocument/2006/relationships/hyperlink" Target="https://www.ncbi.nlm.nih.gov/pubmed/23836565" TargetMode="External"/><Relationship Id="rId744" Type="http://schemas.openxmlformats.org/officeDocument/2006/relationships/hyperlink" Target="https://www.ncbi.nlm.nih.gov/pubmed/25898181" TargetMode="External"/><Relationship Id="rId80" Type="http://schemas.openxmlformats.org/officeDocument/2006/relationships/hyperlink" Target="https://pubmed.ncbi.nlm.nih.gov/20089800/" TargetMode="External"/><Relationship Id="rId176" Type="http://schemas.openxmlformats.org/officeDocument/2006/relationships/hyperlink" Target="https://www.ncbi.nlm.nih.gov/pubmed/26212868" TargetMode="External"/><Relationship Id="rId383" Type="http://schemas.openxmlformats.org/officeDocument/2006/relationships/hyperlink" Target="https://www.ncbi.nlm.nih.gov/pubmed/?term=9502467" TargetMode="External"/><Relationship Id="rId590" Type="http://schemas.openxmlformats.org/officeDocument/2006/relationships/hyperlink" Target="https://www.ncbi.nlm.nih.gov/pubmed/16051848" TargetMode="External"/><Relationship Id="rId604" Type="http://schemas.openxmlformats.org/officeDocument/2006/relationships/hyperlink" Target="https://www.ncbi.nlm.nih.gov/pubmed/6299259" TargetMode="External"/><Relationship Id="rId243" Type="http://schemas.openxmlformats.org/officeDocument/2006/relationships/hyperlink" Target="https://www.ncbi.nlm.nih.gov/pubmed/23085307" TargetMode="External"/><Relationship Id="rId450" Type="http://schemas.openxmlformats.org/officeDocument/2006/relationships/hyperlink" Target="https://www.ncbi.nlm.nih.gov/pubmed/6304611" TargetMode="External"/><Relationship Id="rId688" Type="http://schemas.openxmlformats.org/officeDocument/2006/relationships/hyperlink" Target="https://www.ncbi.nlm.nih.gov/pubmed/23028323" TargetMode="External"/><Relationship Id="rId38" Type="http://schemas.openxmlformats.org/officeDocument/2006/relationships/hyperlink" Target="https://www.ncbi.nlm.nih.gov/pubmed/6782898/" TargetMode="External"/><Relationship Id="rId103" Type="http://schemas.openxmlformats.org/officeDocument/2006/relationships/hyperlink" Target="https://www.ncbi.nlm.nih.gov/pubmed/23302882" TargetMode="External"/><Relationship Id="rId310" Type="http://schemas.openxmlformats.org/officeDocument/2006/relationships/hyperlink" Target="https://www.ncbi.nlm.nih.gov/pubmed/22721825" TargetMode="External"/><Relationship Id="rId548" Type="http://schemas.openxmlformats.org/officeDocument/2006/relationships/hyperlink" Target="https://www.ncbi.nlm.nih.gov/pubmed/23097448" TargetMode="External"/><Relationship Id="rId755" Type="http://schemas.openxmlformats.org/officeDocument/2006/relationships/hyperlink" Target="https://www.ncbi.nlm.nih.gov/pubmed/24830424" TargetMode="External"/><Relationship Id="rId91" Type="http://schemas.openxmlformats.org/officeDocument/2006/relationships/hyperlink" Target="https://www.ncbi.nlm.nih.gov/pubmed/205151" TargetMode="External"/><Relationship Id="rId187" Type="http://schemas.openxmlformats.org/officeDocument/2006/relationships/hyperlink" Target="https://www.ncbi.nlm.nih.gov/pubmed/23110096" TargetMode="External"/><Relationship Id="rId394" Type="http://schemas.openxmlformats.org/officeDocument/2006/relationships/hyperlink" Target="https://www.ncbi.nlm.nih.gov/pubmed/?term=24747773" TargetMode="External"/><Relationship Id="rId408" Type="http://schemas.openxmlformats.org/officeDocument/2006/relationships/hyperlink" Target="https://www.ncbi.nlm.nih.gov/pubmed/23551969" TargetMode="External"/><Relationship Id="rId615" Type="http://schemas.openxmlformats.org/officeDocument/2006/relationships/hyperlink" Target="https://www.ncbi.nlm.nih.gov/pubmed/19697413" TargetMode="External"/><Relationship Id="rId254" Type="http://schemas.openxmlformats.org/officeDocument/2006/relationships/hyperlink" Target="https://www.ncbi.nlm.nih.gov/pubmed/16608518" TargetMode="External"/><Relationship Id="rId699" Type="http://schemas.openxmlformats.org/officeDocument/2006/relationships/hyperlink" Target="https://www.ncbi.nlm.nih.gov/pubmed/25975198" TargetMode="External"/><Relationship Id="rId49" Type="http://schemas.openxmlformats.org/officeDocument/2006/relationships/hyperlink" Target="https://www.ncbi.nlm.nih.gov/pubmed/14028387" TargetMode="External"/><Relationship Id="rId114" Type="http://schemas.openxmlformats.org/officeDocument/2006/relationships/hyperlink" Target="https://www.ncbi.nlm.nih.gov/pubmed/19033469" TargetMode="External"/><Relationship Id="rId461" Type="http://schemas.openxmlformats.org/officeDocument/2006/relationships/hyperlink" Target="https://www.ncbi.nlm.nih.gov/pubmed/21435229" TargetMode="External"/><Relationship Id="rId559" Type="http://schemas.openxmlformats.org/officeDocument/2006/relationships/hyperlink" Target="https://www.ncbi.nlm.nih.gov/pubmed/10463688" TargetMode="External"/><Relationship Id="rId766" Type="http://schemas.openxmlformats.org/officeDocument/2006/relationships/hyperlink" Target="https://www.ncbi.nlm.nih.gov/pubmed/24447466" TargetMode="External"/><Relationship Id="rId198" Type="http://schemas.openxmlformats.org/officeDocument/2006/relationships/hyperlink" Target="https://www.ncbi.nlm.nih.gov/pubmed/22278233" TargetMode="External"/><Relationship Id="rId321" Type="http://schemas.openxmlformats.org/officeDocument/2006/relationships/hyperlink" Target="https://pubmed.ncbi.nlm.nih.gov/38870100/" TargetMode="External"/><Relationship Id="rId419" Type="http://schemas.openxmlformats.org/officeDocument/2006/relationships/hyperlink" Target="https://www.ncbi.nlm.nih.gov/pubmed/29309636" TargetMode="External"/><Relationship Id="rId626" Type="http://schemas.openxmlformats.org/officeDocument/2006/relationships/hyperlink" Target="https://www.ncbi.nlm.nih.gov/pubmed/8627240" TargetMode="External"/><Relationship Id="rId265" Type="http://schemas.openxmlformats.org/officeDocument/2006/relationships/hyperlink" Target="https://www.ncbi.nlm.nih.gov/pubmed/22752515" TargetMode="External"/><Relationship Id="rId472" Type="http://schemas.openxmlformats.org/officeDocument/2006/relationships/hyperlink" Target="https://www.ncbi.nlm.nih.gov/pubmed/22526290" TargetMode="External"/><Relationship Id="rId125" Type="http://schemas.openxmlformats.org/officeDocument/2006/relationships/hyperlink" Target="https://www.ncbi.nlm.nih.gov/pubmed/27631733" TargetMode="External"/><Relationship Id="rId332" Type="http://schemas.openxmlformats.org/officeDocument/2006/relationships/hyperlink" Target="https://www.ncbi.nlm.nih.gov/pubmed/23097448" TargetMode="External"/><Relationship Id="rId777" Type="http://schemas.openxmlformats.org/officeDocument/2006/relationships/hyperlink" Target="https://www.ncbi.nlm.nih.gov/pubmed/27489269" TargetMode="External"/><Relationship Id="rId637" Type="http://schemas.openxmlformats.org/officeDocument/2006/relationships/hyperlink" Target="https://www.ncbi.nlm.nih.gov/pubmed/10817634" TargetMode="External"/><Relationship Id="rId276" Type="http://schemas.openxmlformats.org/officeDocument/2006/relationships/hyperlink" Target="https://www.ncbi.nlm.nih.gov/pubmed/17947533" TargetMode="External"/><Relationship Id="rId483" Type="http://schemas.openxmlformats.org/officeDocument/2006/relationships/hyperlink" Target="https://www.ncbi.nlm.nih.gov/pubmed/10328837" TargetMode="External"/><Relationship Id="rId690" Type="http://schemas.openxmlformats.org/officeDocument/2006/relationships/hyperlink" Target="https://www.ncbi.nlm.nih.gov/pubmed/28220327" TargetMode="External"/><Relationship Id="rId704" Type="http://schemas.openxmlformats.org/officeDocument/2006/relationships/hyperlink" Target="https://www.ncbi.nlm.nih.gov/pubmed/24475112" TargetMode="External"/><Relationship Id="rId40" Type="http://schemas.openxmlformats.org/officeDocument/2006/relationships/hyperlink" Target="https://www.ncbi.nlm.nih.gov/pubmed/3706626" TargetMode="External"/><Relationship Id="rId136" Type="http://schemas.openxmlformats.org/officeDocument/2006/relationships/hyperlink" Target="https://www.ncbi.nlm.nih.gov/pubmed/6261689/" TargetMode="External"/><Relationship Id="rId343" Type="http://schemas.openxmlformats.org/officeDocument/2006/relationships/hyperlink" Target="https://www.ncbi.nlm.nih.gov/pubmed/23665770" TargetMode="External"/><Relationship Id="rId550" Type="http://schemas.openxmlformats.org/officeDocument/2006/relationships/hyperlink" Target="https://www.ncbi.nlm.nih.gov/pubmed/21345956" TargetMode="External"/><Relationship Id="rId788" Type="http://schemas.openxmlformats.org/officeDocument/2006/relationships/hyperlink" Target="https://pubmed.ncbi.nlm.nih.gov/27400226/" TargetMode="External"/><Relationship Id="rId203" Type="http://schemas.openxmlformats.org/officeDocument/2006/relationships/hyperlink" Target="https://www.ncbi.nlm.nih.gov/pubmed/26489898" TargetMode="External"/><Relationship Id="rId648" Type="http://schemas.openxmlformats.org/officeDocument/2006/relationships/hyperlink" Target="https://www.ncbi.nlm.nih.gov/pubmed/17947533" TargetMode="External"/><Relationship Id="rId287" Type="http://schemas.openxmlformats.org/officeDocument/2006/relationships/hyperlink" Target="https://www.ncbi.nlm.nih.gov/pubmed/19788811" TargetMode="External"/><Relationship Id="rId410" Type="http://schemas.openxmlformats.org/officeDocument/2006/relationships/hyperlink" Target="https://www.ncbi.nlm.nih.gov/pubmed/?term=5107116" TargetMode="External"/><Relationship Id="rId494" Type="http://schemas.openxmlformats.org/officeDocument/2006/relationships/hyperlink" Target="https://www.ncbi.nlm.nih.gov/pubmed/16222361" TargetMode="External"/><Relationship Id="rId508" Type="http://schemas.openxmlformats.org/officeDocument/2006/relationships/hyperlink" Target="https://www.ncbi.nlm.nih.gov/pubmed/21084497" TargetMode="External"/><Relationship Id="rId715" Type="http://schemas.openxmlformats.org/officeDocument/2006/relationships/hyperlink" Target="https://www.ncbi.nlm.nih.gov/pubmed/20455779" TargetMode="External"/><Relationship Id="rId147" Type="http://schemas.openxmlformats.org/officeDocument/2006/relationships/hyperlink" Target="https://www.ncbi.nlm.nih.gov/pubmed/17332186" TargetMode="External"/><Relationship Id="rId354" Type="http://schemas.openxmlformats.org/officeDocument/2006/relationships/hyperlink" Target="https://www.ncbi.nlm.nih.gov/pubmed/29211835" TargetMode="External"/><Relationship Id="rId51" Type="http://schemas.openxmlformats.org/officeDocument/2006/relationships/hyperlink" Target="https://www.ncbi.nlm.nih.gov/pubmed/14070772" TargetMode="External"/><Relationship Id="rId561" Type="http://schemas.openxmlformats.org/officeDocument/2006/relationships/hyperlink" Target="https://www.ncbi.nlm.nih.gov/pubmed/20810845" TargetMode="External"/><Relationship Id="rId659" Type="http://schemas.openxmlformats.org/officeDocument/2006/relationships/hyperlink" Target="https://www.ncbi.nlm.nih.gov/pubmed/22000358" TargetMode="External"/><Relationship Id="rId214" Type="http://schemas.openxmlformats.org/officeDocument/2006/relationships/hyperlink" Target="https://www.ncbi.nlm.nih.gov/pubmed/25393244" TargetMode="External"/><Relationship Id="rId298" Type="http://schemas.openxmlformats.org/officeDocument/2006/relationships/hyperlink" Target="https://www.ncbi.nlm.nih.gov/pubmed/18834510" TargetMode="External"/><Relationship Id="rId421" Type="http://schemas.openxmlformats.org/officeDocument/2006/relationships/hyperlink" Target="https://www.ncbi.nlm.nih.gov/pubmed/28252637" TargetMode="External"/><Relationship Id="rId519" Type="http://schemas.openxmlformats.org/officeDocument/2006/relationships/hyperlink" Target="https://www.ncbi.nlm.nih.gov/pubmed/20836801" TargetMode="External"/><Relationship Id="rId158" Type="http://schemas.openxmlformats.org/officeDocument/2006/relationships/hyperlink" Target="https://www.ncbi.nlm.nih.gov/pubmed/23343342" TargetMode="External"/><Relationship Id="rId726" Type="http://schemas.openxmlformats.org/officeDocument/2006/relationships/hyperlink" Target="https://www.ncbi.nlm.nih.gov/pubmed/25192547" TargetMode="External"/><Relationship Id="rId62" Type="http://schemas.openxmlformats.org/officeDocument/2006/relationships/hyperlink" Target="https://www.ncbi.nlm.nih.gov/pubmed/1337744" TargetMode="External"/><Relationship Id="rId365" Type="http://schemas.openxmlformats.org/officeDocument/2006/relationships/hyperlink" Target="https://www.ncbi.nlm.nih.gov/pubmed/4635777" TargetMode="External"/><Relationship Id="rId572" Type="http://schemas.openxmlformats.org/officeDocument/2006/relationships/hyperlink" Target="https://www.ncbi.nlm.nih.gov/pubmed/21466639" TargetMode="External"/><Relationship Id="rId225" Type="http://schemas.openxmlformats.org/officeDocument/2006/relationships/hyperlink" Target="https://www.ncbi.nlm.nih.gov/pubmed/9203732" TargetMode="External"/><Relationship Id="rId432" Type="http://schemas.openxmlformats.org/officeDocument/2006/relationships/hyperlink" Target="https://www.ncbi.nlm.nih.gov/pubmed/8603954" TargetMode="External"/><Relationship Id="rId737" Type="http://schemas.openxmlformats.org/officeDocument/2006/relationships/hyperlink" Target="https://www.ncbi.nlm.nih.gov/pubmed/24109214" TargetMode="External"/><Relationship Id="rId73" Type="http://schemas.openxmlformats.org/officeDocument/2006/relationships/hyperlink" Target="https://www.ncbi.nlm.nih.gov/pubmed/14501989" TargetMode="External"/><Relationship Id="rId169" Type="http://schemas.openxmlformats.org/officeDocument/2006/relationships/hyperlink" Target="https://www.ncbi.nlm.nih.gov/pubmed/8166352" TargetMode="External"/><Relationship Id="rId376" Type="http://schemas.openxmlformats.org/officeDocument/2006/relationships/hyperlink" Target="https://www.ncbi.nlm.nih.gov/pubmed/7905555" TargetMode="External"/><Relationship Id="rId583" Type="http://schemas.openxmlformats.org/officeDocument/2006/relationships/hyperlink" Target="https://www.ncbi.nlm.nih.gov/pubmed/23202466" TargetMode="External"/><Relationship Id="rId790" Type="http://schemas.openxmlformats.org/officeDocument/2006/relationships/printerSettings" Target="../printerSettings/printerSettings1.bin"/><Relationship Id="rId4" Type="http://schemas.openxmlformats.org/officeDocument/2006/relationships/hyperlink" Target="https://www.ncbi.nlm.nih.gov/pmc/articles/PMC2875267/" TargetMode="External"/><Relationship Id="rId236" Type="http://schemas.openxmlformats.org/officeDocument/2006/relationships/hyperlink" Target="https://www.ncbi.nlm.nih.gov/pubmed/28549438" TargetMode="External"/><Relationship Id="rId443" Type="http://schemas.openxmlformats.org/officeDocument/2006/relationships/hyperlink" Target="https://www.ncbi.nlm.nih.gov/pubmed/13273120" TargetMode="External"/><Relationship Id="rId650" Type="http://schemas.openxmlformats.org/officeDocument/2006/relationships/hyperlink" Target="https://www.ncbi.nlm.nih.gov/pubmed/22305525" TargetMode="External"/><Relationship Id="rId303" Type="http://schemas.openxmlformats.org/officeDocument/2006/relationships/hyperlink" Target="https://www.ncbi.nlm.nih.gov/pubmed/22877560" TargetMode="External"/><Relationship Id="rId748" Type="http://schemas.openxmlformats.org/officeDocument/2006/relationships/hyperlink" Target="https://www.ncbi.nlm.nih.gov/pubmed/19033469" TargetMode="External"/><Relationship Id="rId84" Type="http://schemas.openxmlformats.org/officeDocument/2006/relationships/hyperlink" Target="https://pubmed.ncbi.nlm.nih.gov/38476950/" TargetMode="External"/><Relationship Id="rId387" Type="http://schemas.openxmlformats.org/officeDocument/2006/relationships/hyperlink" Target="https://www.ncbi.nlm.nih.gov/pubmed/27344959" TargetMode="External"/><Relationship Id="rId510" Type="http://schemas.openxmlformats.org/officeDocument/2006/relationships/hyperlink" Target="https://www.ncbi.nlm.nih.gov/pubmed/?term=20587179" TargetMode="External"/><Relationship Id="rId594" Type="http://schemas.openxmlformats.org/officeDocument/2006/relationships/hyperlink" Target="https://www.ncbi.nlm.nih.gov/pubmed/15964158" TargetMode="External"/><Relationship Id="rId608" Type="http://schemas.openxmlformats.org/officeDocument/2006/relationships/hyperlink" Target="https://www.ncbi.nlm.nih.gov/pubmed/22389721" TargetMode="External"/><Relationship Id="rId247" Type="http://schemas.openxmlformats.org/officeDocument/2006/relationships/hyperlink" Target="https://www.ncbi.nlm.nih.gov/pubmed/17182762" TargetMode="External"/><Relationship Id="rId107" Type="http://schemas.openxmlformats.org/officeDocument/2006/relationships/hyperlink" Target="https://www.ncbi.nlm.nih.gov/pubmed/12615305" TargetMode="External"/><Relationship Id="rId454" Type="http://schemas.openxmlformats.org/officeDocument/2006/relationships/hyperlink" Target="https://www.ncbi.nlm.nih.gov/pubmed/23851439" TargetMode="External"/><Relationship Id="rId661" Type="http://schemas.openxmlformats.org/officeDocument/2006/relationships/hyperlink" Target="https://www.ncbi.nlm.nih.gov/pubmed/22526290" TargetMode="External"/><Relationship Id="rId759" Type="http://schemas.openxmlformats.org/officeDocument/2006/relationships/hyperlink" Target="https://www.ncbi.nlm.nih.gov/pubmed/17712412" TargetMode="External"/><Relationship Id="rId11" Type="http://schemas.openxmlformats.org/officeDocument/2006/relationships/hyperlink" Target="https://www.ncbi.nlm.nih.gov/pubmed/28377" TargetMode="External"/><Relationship Id="rId314" Type="http://schemas.openxmlformats.org/officeDocument/2006/relationships/hyperlink" Target="https://www.ncbi.nlm.nih.gov/pubmed/19501478" TargetMode="External"/><Relationship Id="rId398" Type="http://schemas.openxmlformats.org/officeDocument/2006/relationships/hyperlink" Target="https://www.ncbi.nlm.nih.gov/pubmed/?term=29043965" TargetMode="External"/><Relationship Id="rId521" Type="http://schemas.openxmlformats.org/officeDocument/2006/relationships/hyperlink" Target="https://www.ncbi.nlm.nih.gov/pubmed/20638945" TargetMode="External"/><Relationship Id="rId619" Type="http://schemas.openxmlformats.org/officeDocument/2006/relationships/hyperlink" Target="https://www.ncbi.nlm.nih.gov/pubmed/23665770" TargetMode="External"/><Relationship Id="rId95" Type="http://schemas.openxmlformats.org/officeDocument/2006/relationships/hyperlink" Target="https://www.ncbi.nlm.nih.gov/pubmed/28095926" TargetMode="External"/><Relationship Id="rId160" Type="http://schemas.openxmlformats.org/officeDocument/2006/relationships/hyperlink" Target="https://www.ncbi.nlm.nih.gov/pubmed/183050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42"/>
  <sheetViews>
    <sheetView tabSelected="1" topLeftCell="Y1" zoomScaleNormal="100" workbookViewId="0">
      <pane ySplit="1" topLeftCell="A2" activePane="bottomLeft" state="frozen"/>
      <selection pane="bottomLeft" activeCell="AM9" sqref="AM9"/>
    </sheetView>
  </sheetViews>
  <sheetFormatPr defaultColWidth="8.85546875" defaultRowHeight="18" customHeight="1"/>
  <cols>
    <col min="1" max="1" width="31" style="2" customWidth="1"/>
    <col min="2" max="2" width="33.28515625" style="2" customWidth="1"/>
    <col min="3" max="3" width="16.42578125" style="14" customWidth="1"/>
    <col min="4" max="4" width="16" style="2" customWidth="1"/>
    <col min="5" max="5" width="20.7109375" style="2" customWidth="1"/>
    <col min="6" max="6" width="9.42578125" style="2" bestFit="1" customWidth="1"/>
    <col min="7" max="7" width="13.7109375" style="15" customWidth="1"/>
    <col min="8" max="8" width="16.140625" style="17" customWidth="1"/>
    <col min="9" max="9" width="14.5703125" style="4" customWidth="1"/>
    <col min="10" max="10" width="26.140625" style="5" customWidth="1"/>
    <col min="11" max="11" width="24.42578125" style="5" customWidth="1"/>
    <col min="12" max="13" width="11.42578125" style="1" customWidth="1"/>
    <col min="14" max="14" width="19.42578125" style="18" customWidth="1"/>
    <col min="15" max="17" width="18" style="22" customWidth="1"/>
    <col min="18" max="18" width="18.5703125" style="18" customWidth="1"/>
    <col min="19" max="19" width="9.140625" style="2" customWidth="1"/>
    <col min="20" max="20" width="12.85546875" style="16" customWidth="1"/>
    <col min="21" max="22" width="17.28515625" style="16" customWidth="1"/>
    <col min="23" max="23" width="10.28515625" style="19" customWidth="1"/>
    <col min="24" max="24" width="10.7109375" style="19" customWidth="1"/>
    <col min="25" max="25" width="13.7109375" style="19" customWidth="1"/>
    <col min="26" max="26" width="10.5703125" style="19" customWidth="1"/>
    <col min="27" max="27" width="9.140625" style="19" customWidth="1"/>
    <col min="28" max="28" width="13.140625" style="19" customWidth="1"/>
    <col min="29" max="29" width="9.140625" style="19" customWidth="1"/>
    <col min="30" max="31" width="13" style="19" customWidth="1"/>
    <col min="32" max="32" width="15.85546875" style="9" customWidth="1"/>
    <col min="33" max="33" width="12.140625" style="2" customWidth="1"/>
    <col min="34" max="34" width="9.140625" style="2" customWidth="1"/>
    <col min="35" max="35" width="8.42578125" style="2" customWidth="1"/>
    <col min="36" max="37" width="9.140625" style="2" customWidth="1"/>
    <col min="38" max="38" width="10.140625" style="2" customWidth="1"/>
    <col min="39" max="39" width="11.140625" style="2" customWidth="1"/>
    <col min="40" max="16384" width="8.85546875" style="2"/>
  </cols>
  <sheetData>
    <row r="1" spans="1:39" s="36" customFormat="1" ht="18" customHeight="1">
      <c r="A1" s="46" t="s">
        <v>758</v>
      </c>
      <c r="B1" s="46" t="s">
        <v>759</v>
      </c>
      <c r="C1" s="46" t="s">
        <v>760</v>
      </c>
      <c r="D1" s="46" t="s">
        <v>761</v>
      </c>
      <c r="E1" s="47" t="s">
        <v>764</v>
      </c>
      <c r="F1" s="46" t="s">
        <v>762</v>
      </c>
      <c r="G1" s="46" t="s">
        <v>763</v>
      </c>
      <c r="H1" s="48" t="s">
        <v>778</v>
      </c>
      <c r="I1" s="49" t="s">
        <v>765</v>
      </c>
      <c r="J1" s="49" t="s">
        <v>772</v>
      </c>
      <c r="K1" s="49" t="s">
        <v>773</v>
      </c>
      <c r="L1" s="49" t="s">
        <v>11</v>
      </c>
      <c r="M1" s="49" t="s">
        <v>12</v>
      </c>
      <c r="N1" s="49" t="s">
        <v>766</v>
      </c>
      <c r="O1" s="50" t="s">
        <v>6</v>
      </c>
      <c r="P1" s="105" t="s">
        <v>988</v>
      </c>
      <c r="Q1" s="106"/>
      <c r="R1" s="107"/>
      <c r="S1" s="51" t="s">
        <v>0</v>
      </c>
      <c r="T1" s="51" t="s">
        <v>1</v>
      </c>
      <c r="U1" s="103" t="s">
        <v>986</v>
      </c>
      <c r="V1" s="104"/>
      <c r="W1" s="51" t="s">
        <v>2</v>
      </c>
      <c r="X1" s="51" t="s">
        <v>3</v>
      </c>
      <c r="Y1" s="51" t="s">
        <v>767</v>
      </c>
      <c r="Z1" s="51" t="s">
        <v>768</v>
      </c>
      <c r="AA1" s="51" t="s">
        <v>4</v>
      </c>
      <c r="AB1" s="51" t="s">
        <v>769</v>
      </c>
      <c r="AC1" s="51" t="s">
        <v>5</v>
      </c>
      <c r="AD1" s="51" t="s">
        <v>770</v>
      </c>
      <c r="AE1" s="103" t="s">
        <v>987</v>
      </c>
      <c r="AF1" s="104"/>
      <c r="AG1" s="52" t="s">
        <v>7</v>
      </c>
      <c r="AH1" s="52" t="s">
        <v>8</v>
      </c>
      <c r="AI1" s="52" t="s">
        <v>9</v>
      </c>
      <c r="AJ1" s="52" t="s">
        <v>10</v>
      </c>
      <c r="AK1" s="52" t="s">
        <v>771</v>
      </c>
      <c r="AL1" s="108" t="s">
        <v>989</v>
      </c>
      <c r="AM1" s="109"/>
    </row>
    <row r="2" spans="1:39" ht="18" customHeight="1">
      <c r="A2" s="80" t="s">
        <v>13</v>
      </c>
      <c r="B2" s="81" t="s">
        <v>14</v>
      </c>
      <c r="C2" s="82" t="s">
        <v>15</v>
      </c>
      <c r="D2" s="82" t="s">
        <v>16</v>
      </c>
      <c r="E2" s="65" t="str">
        <f>HYPERLINK("https://ictv.global/taxonomy/taxondetails?taxnode_id=202302597", "202302597")</f>
        <v>202302597</v>
      </c>
      <c r="F2" s="83">
        <v>1</v>
      </c>
      <c r="G2" s="3" t="s">
        <v>775</v>
      </c>
      <c r="H2" s="68" t="s">
        <v>789</v>
      </c>
      <c r="I2" s="84">
        <v>1994</v>
      </c>
      <c r="J2" s="85" t="s">
        <v>19</v>
      </c>
      <c r="K2" s="85" t="s">
        <v>401</v>
      </c>
      <c r="L2" s="74">
        <v>-23.550519999999999</v>
      </c>
      <c r="M2" s="74">
        <v>-46.633308999999997</v>
      </c>
      <c r="N2" s="66" t="str">
        <f>HYPERLINK("https://www.ncbi.nlm.nih.gov/pubmed/7905555", "7905555")</f>
        <v>7905555</v>
      </c>
      <c r="O2" s="28">
        <v>2</v>
      </c>
      <c r="P2" s="54">
        <v>7905555</v>
      </c>
      <c r="Q2" s="54" t="str">
        <f>HYPERLINK("https://pubmed.ncbi.nlm.nih.gov/37937408/", "37937408")</f>
        <v>37937408</v>
      </c>
      <c r="R2" s="54" t="str">
        <f>HYPERLINK("https://pubmed.ncbi.nlm.nih.gov/38575867/", "38575867")</f>
        <v>38575867</v>
      </c>
      <c r="S2" s="7">
        <v>0</v>
      </c>
      <c r="T2" s="77"/>
      <c r="U2" s="53"/>
      <c r="V2" s="53"/>
      <c r="W2" s="7">
        <v>1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30" t="str">
        <f>HYPERLINK("https://pubmed.ncbi.nlm.nih.gov/37937408/", "37937408")</f>
        <v>37937408</v>
      </c>
      <c r="AF2" s="30" t="str">
        <f>HYPERLINK("https://pubmed.ncbi.nlm.nih.gov/38575867/", "38575867")</f>
        <v>38575867</v>
      </c>
      <c r="AG2" s="61">
        <v>0</v>
      </c>
      <c r="AH2" s="61">
        <v>0</v>
      </c>
      <c r="AI2" s="61">
        <v>1</v>
      </c>
      <c r="AJ2" s="61">
        <v>0</v>
      </c>
      <c r="AK2" s="61">
        <v>0</v>
      </c>
      <c r="AL2" s="64" t="s">
        <v>18</v>
      </c>
      <c r="AM2" s="64"/>
    </row>
    <row r="3" spans="1:39" ht="18" customHeight="1">
      <c r="A3" s="80" t="s">
        <v>20</v>
      </c>
      <c r="B3" s="6" t="s">
        <v>21</v>
      </c>
      <c r="C3" s="82" t="s">
        <v>15</v>
      </c>
      <c r="D3" s="82" t="s">
        <v>16</v>
      </c>
      <c r="E3" s="65" t="str">
        <f>HYPERLINK("https://ictv.global/taxonomy/taxondetails?taxnode_id=202302595", "202302595")</f>
        <v>202302595</v>
      </c>
      <c r="F3" s="83">
        <v>1</v>
      </c>
      <c r="G3" s="3" t="s">
        <v>775</v>
      </c>
      <c r="H3" s="68" t="s">
        <v>790</v>
      </c>
      <c r="I3" s="84">
        <v>1971</v>
      </c>
      <c r="J3" s="72" t="s">
        <v>23</v>
      </c>
      <c r="K3" s="85" t="s">
        <v>401</v>
      </c>
      <c r="L3" s="75">
        <v>6.23367</v>
      </c>
      <c r="M3" s="75">
        <v>-75.160669999999996</v>
      </c>
      <c r="N3" s="66" t="str">
        <f>HYPERLINK("https://www.ncbi.nlm.nih.gov/pubmed/4998616", "4998616")</f>
        <v>4998616</v>
      </c>
      <c r="O3" s="28">
        <v>2</v>
      </c>
      <c r="P3" s="54">
        <v>4998616</v>
      </c>
      <c r="Q3" s="54"/>
      <c r="R3" s="54"/>
      <c r="S3" s="7">
        <v>0</v>
      </c>
      <c r="T3" s="77"/>
      <c r="U3" s="53"/>
      <c r="V3" s="53"/>
      <c r="W3" s="7" t="s">
        <v>17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30" t="s">
        <v>22</v>
      </c>
      <c r="AF3" s="30"/>
      <c r="AG3" s="61">
        <v>0</v>
      </c>
      <c r="AH3" s="61">
        <v>0</v>
      </c>
      <c r="AI3" s="61">
        <v>1</v>
      </c>
      <c r="AJ3" s="61">
        <v>0</v>
      </c>
      <c r="AK3" s="61">
        <v>0</v>
      </c>
      <c r="AL3" s="64" t="s">
        <v>22</v>
      </c>
      <c r="AM3" s="64"/>
    </row>
    <row r="4" spans="1:39" ht="18" customHeight="1">
      <c r="A4" s="86" t="s">
        <v>24</v>
      </c>
      <c r="B4" s="87" t="s">
        <v>25</v>
      </c>
      <c r="C4" s="82" t="s">
        <v>15</v>
      </c>
      <c r="D4" s="82" t="s">
        <v>16</v>
      </c>
      <c r="E4" s="65" t="str">
        <f>HYPERLINK("https://ictv.global/taxonomy/taxondetails?taxnode_id=202302573","202302573")</f>
        <v>202302573</v>
      </c>
      <c r="F4" s="83">
        <v>1</v>
      </c>
      <c r="G4" s="3" t="s">
        <v>775</v>
      </c>
      <c r="H4" s="68" t="s">
        <v>791</v>
      </c>
      <c r="I4" s="84">
        <v>2008</v>
      </c>
      <c r="J4" s="85" t="s">
        <v>746</v>
      </c>
      <c r="K4" s="85" t="s">
        <v>401</v>
      </c>
      <c r="L4" s="76">
        <v>-17.413976999999999</v>
      </c>
      <c r="M4" s="76">
        <v>-66.165322000000003</v>
      </c>
      <c r="N4" s="66" t="str">
        <f>HYPERLINK("https://www.ncbi.nlm.nih.gov/pubmed/18421377", "18421377")</f>
        <v>18421377</v>
      </c>
      <c r="O4" s="28">
        <v>3</v>
      </c>
      <c r="P4" s="54">
        <v>18421377</v>
      </c>
      <c r="Q4" s="54" t="str">
        <f>HYPERLINK("https://pubmed.ncbi.nlm.nih.gov/38575867/", "38575867")</f>
        <v>38575867</v>
      </c>
      <c r="R4" s="54"/>
      <c r="S4" s="7">
        <v>0</v>
      </c>
      <c r="T4" s="77"/>
      <c r="U4" s="53"/>
      <c r="V4" s="53"/>
      <c r="W4" s="7">
        <v>1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30" t="str">
        <f>HYPERLINK("https://pubmed.ncbi.nlm.nih.gov/38575867/", "38575867")</f>
        <v>38575867</v>
      </c>
      <c r="AF4" s="30" t="str">
        <f>HYPERLINK("https://pubmed.ncbi.nlm.nih.gov/32061859/", "32061859")</f>
        <v>32061859</v>
      </c>
      <c r="AG4" s="61">
        <v>0</v>
      </c>
      <c r="AH4" s="61">
        <v>0</v>
      </c>
      <c r="AI4" s="61">
        <v>1</v>
      </c>
      <c r="AJ4" s="61">
        <v>0</v>
      </c>
      <c r="AK4" s="61">
        <v>0</v>
      </c>
      <c r="AL4" s="64" t="s">
        <v>26</v>
      </c>
      <c r="AM4" s="64"/>
    </row>
    <row r="5" spans="1:39" ht="18" customHeight="1">
      <c r="A5" s="86" t="s">
        <v>27</v>
      </c>
      <c r="B5" s="87" t="s">
        <v>28</v>
      </c>
      <c r="C5" s="82" t="s">
        <v>15</v>
      </c>
      <c r="D5" s="82" t="s">
        <v>16</v>
      </c>
      <c r="E5" s="65" t="str">
        <f>HYPERLINK("https://ictv.global/taxonomy/taxondetails?taxnode_id=202302586","202302586")</f>
        <v>202302586</v>
      </c>
      <c r="F5" s="83">
        <v>1</v>
      </c>
      <c r="G5" s="3" t="s">
        <v>775</v>
      </c>
      <c r="H5" s="68" t="s">
        <v>792</v>
      </c>
      <c r="I5" s="84">
        <v>1934</v>
      </c>
      <c r="J5" s="85" t="s">
        <v>29</v>
      </c>
      <c r="K5" s="85" t="s">
        <v>755</v>
      </c>
      <c r="L5" s="76">
        <v>38.728140000000003</v>
      </c>
      <c r="M5" s="76">
        <v>-90.382220000000004</v>
      </c>
      <c r="N5" s="66" t="str">
        <f>HYPERLINK("http://www.jstor.org/stable/4581290", "Direct link")</f>
        <v>Direct link</v>
      </c>
      <c r="O5" s="28">
        <v>3</v>
      </c>
      <c r="P5" s="54">
        <v>22889536</v>
      </c>
      <c r="Q5" s="54" t="str">
        <f>HYPERLINK("https://pubmed.ncbi.nlm.nih.gov/38575867/", "38575867")</f>
        <v>38575867</v>
      </c>
      <c r="R5" s="54"/>
      <c r="S5" s="7">
        <v>0</v>
      </c>
      <c r="T5" s="77"/>
      <c r="U5" s="53"/>
      <c r="V5" s="53"/>
      <c r="W5" s="7">
        <v>1</v>
      </c>
      <c r="X5" s="7">
        <v>0</v>
      </c>
      <c r="Y5" s="7">
        <v>0</v>
      </c>
      <c r="Z5" s="7">
        <v>1</v>
      </c>
      <c r="AA5" s="7">
        <v>0</v>
      </c>
      <c r="AB5" s="7">
        <v>1</v>
      </c>
      <c r="AC5" s="7">
        <v>1</v>
      </c>
      <c r="AD5" s="7">
        <v>0</v>
      </c>
      <c r="AE5" s="30" t="str">
        <f>HYPERLINK("https://pubmed.ncbi.nlm.nih.gov/38575867/", "38575867")</f>
        <v>38575867</v>
      </c>
      <c r="AF5" s="30">
        <v>23666045</v>
      </c>
      <c r="AG5" s="61">
        <v>0</v>
      </c>
      <c r="AH5" s="61">
        <v>1</v>
      </c>
      <c r="AI5" s="61">
        <v>1</v>
      </c>
      <c r="AJ5" s="61">
        <v>0</v>
      </c>
      <c r="AK5" s="61">
        <v>0</v>
      </c>
      <c r="AL5" s="64">
        <v>23666045</v>
      </c>
      <c r="AM5" s="64"/>
    </row>
    <row r="6" spans="1:39" ht="18" customHeight="1">
      <c r="A6" s="86" t="s">
        <v>30</v>
      </c>
      <c r="B6" s="87" t="s">
        <v>31</v>
      </c>
      <c r="C6" s="82" t="s">
        <v>15</v>
      </c>
      <c r="D6" s="82" t="s">
        <v>16</v>
      </c>
      <c r="E6" s="65" t="str">
        <f>HYPERLINK("https://ictv.global/taxonomy/taxondetails?taxnode_id=202302577","202302577")</f>
        <v>202302577</v>
      </c>
      <c r="F6" s="83">
        <v>1</v>
      </c>
      <c r="G6" s="3" t="s">
        <v>775</v>
      </c>
      <c r="H6" s="68" t="s">
        <v>793</v>
      </c>
      <c r="I6" s="84">
        <v>1991</v>
      </c>
      <c r="J6" s="85" t="s">
        <v>33</v>
      </c>
      <c r="K6" s="85" t="s">
        <v>401</v>
      </c>
      <c r="L6" s="76">
        <v>8.5060839999999995</v>
      </c>
      <c r="M6" s="76">
        <v>-69.001648000000003</v>
      </c>
      <c r="N6" s="66" t="str">
        <f>HYPERLINK("https://www.ncbi.nlm.nih.gov/pubmed/1681354", "1681354")</f>
        <v>1681354</v>
      </c>
      <c r="O6" s="28">
        <v>2</v>
      </c>
      <c r="P6" s="54">
        <v>9502447</v>
      </c>
      <c r="Q6" s="54" t="str">
        <f>HYPERLINK("https://pubmed.ncbi.nlm.nih.gov/35579715/", "35579715")</f>
        <v>35579715</v>
      </c>
      <c r="R6" s="54"/>
      <c r="S6" s="7">
        <v>0</v>
      </c>
      <c r="T6" s="77"/>
      <c r="U6" s="53"/>
      <c r="V6" s="53"/>
      <c r="W6" s="7">
        <v>1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1</v>
      </c>
      <c r="AE6" s="30" t="str">
        <f>HYPERLINK("https://pubmed.ncbi.nlm.nih.gov/38575867/", "38575867")</f>
        <v>38575867</v>
      </c>
      <c r="AF6" s="30" t="str">
        <f>HYPERLINK("https://pubmed.ncbi.nlm.nih.gov/35579715/", "35579715")</f>
        <v>35579715</v>
      </c>
      <c r="AG6" s="61">
        <v>0</v>
      </c>
      <c r="AH6" s="61">
        <v>0</v>
      </c>
      <c r="AI6" s="61">
        <v>1</v>
      </c>
      <c r="AJ6" s="61">
        <v>0</v>
      </c>
      <c r="AK6" s="61">
        <v>0</v>
      </c>
      <c r="AL6" s="64" t="s">
        <v>32</v>
      </c>
      <c r="AM6" s="64"/>
    </row>
    <row r="7" spans="1:39" ht="18" customHeight="1">
      <c r="A7" s="80" t="s">
        <v>34</v>
      </c>
      <c r="B7" s="81" t="s">
        <v>35</v>
      </c>
      <c r="C7" s="82" t="s">
        <v>15</v>
      </c>
      <c r="D7" s="82" t="s">
        <v>16</v>
      </c>
      <c r="E7" s="65" t="str">
        <f>HYPERLINK("https://ictv.global/taxonomy/taxondetails?taxnode_id=202302579","202302579")</f>
        <v>202302579</v>
      </c>
      <c r="F7" s="83">
        <v>1</v>
      </c>
      <c r="G7" s="3" t="s">
        <v>775</v>
      </c>
      <c r="H7" s="68" t="s">
        <v>794</v>
      </c>
      <c r="I7" s="84">
        <v>1958</v>
      </c>
      <c r="J7" s="85" t="s">
        <v>37</v>
      </c>
      <c r="K7" s="85" t="s">
        <v>401</v>
      </c>
      <c r="L7" s="76">
        <v>-34.588549999999998</v>
      </c>
      <c r="M7" s="76">
        <v>-60.949553999999999</v>
      </c>
      <c r="N7" s="66" t="str">
        <f>HYPERLINK("https://www.ncbi.nlm.nih.gov/pubmed/13586110", "13586110")</f>
        <v>13586110</v>
      </c>
      <c r="O7" s="28">
        <v>3</v>
      </c>
      <c r="P7" s="54" t="str">
        <f>HYPERLINK("https://pubmed.ncbi.nlm.nih.gov/24901990/", "24901990")</f>
        <v>24901990</v>
      </c>
      <c r="Q7" s="54" t="str">
        <f>HYPERLINK("https://pubmed.ncbi.nlm.nih.gov/36635519/", "36635519")</f>
        <v>36635519</v>
      </c>
      <c r="R7" s="54"/>
      <c r="S7" s="7">
        <v>0</v>
      </c>
      <c r="T7" s="77"/>
      <c r="U7" s="53"/>
      <c r="V7" s="53"/>
      <c r="W7" s="7">
        <v>1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1</v>
      </c>
      <c r="AE7" s="30" t="str">
        <f>HYPERLINK("https://pubmed.ncbi.nlm.nih.gov/38575867/", "38575867")</f>
        <v>38575867</v>
      </c>
      <c r="AF7" s="30" t="str">
        <f>HYPERLINK("https://pubmed.ncbi.nlm.nih.gov/36635519/", "36635519")</f>
        <v>36635519</v>
      </c>
      <c r="AG7" s="61">
        <v>0</v>
      </c>
      <c r="AH7" s="61">
        <v>0</v>
      </c>
      <c r="AI7" s="61">
        <v>1</v>
      </c>
      <c r="AJ7" s="61">
        <v>0</v>
      </c>
      <c r="AK7" s="61">
        <v>0</v>
      </c>
      <c r="AL7" s="64" t="s">
        <v>36</v>
      </c>
      <c r="AM7" s="64">
        <v>24901990</v>
      </c>
    </row>
    <row r="8" spans="1:39" ht="18" customHeight="1">
      <c r="A8" s="86" t="s">
        <v>38</v>
      </c>
      <c r="B8" s="87" t="s">
        <v>39</v>
      </c>
      <c r="C8" s="82" t="s">
        <v>15</v>
      </c>
      <c r="D8" s="82" t="s">
        <v>16</v>
      </c>
      <c r="E8" s="65" t="str">
        <f>HYPERLINK("https://ictv.global/taxonomy/taxondetails?taxnode_id=202302580", "202302580")</f>
        <v>202302580</v>
      </c>
      <c r="F8" s="83">
        <v>1</v>
      </c>
      <c r="G8" s="3" t="s">
        <v>775</v>
      </c>
      <c r="H8" s="68" t="s">
        <v>795</v>
      </c>
      <c r="I8" s="84">
        <v>1970</v>
      </c>
      <c r="J8" s="85" t="s">
        <v>43</v>
      </c>
      <c r="K8" s="85" t="s">
        <v>757</v>
      </c>
      <c r="L8" s="76">
        <v>10.686124</v>
      </c>
      <c r="M8" s="76">
        <v>13.269234000000001</v>
      </c>
      <c r="N8" s="66" t="str">
        <f>HYPERLINK("https://www.ncbi.nlm.nih.gov/pubmed/4987547", "4987547")</f>
        <v>4987547</v>
      </c>
      <c r="O8" s="28">
        <v>3</v>
      </c>
      <c r="P8" s="54">
        <v>5046380</v>
      </c>
      <c r="Q8" s="54"/>
      <c r="R8" s="54"/>
      <c r="S8" s="7">
        <v>0</v>
      </c>
      <c r="T8" s="77"/>
      <c r="U8" s="53"/>
      <c r="V8" s="53"/>
      <c r="W8" s="7">
        <v>1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30" t="s">
        <v>40</v>
      </c>
      <c r="AF8" s="30" t="str">
        <f>HYPERLINK("https://pubmed.ncbi.nlm.nih.gov/25569707/","25569707")</f>
        <v>25569707</v>
      </c>
      <c r="AG8" s="61">
        <v>0</v>
      </c>
      <c r="AH8" s="61">
        <v>0</v>
      </c>
      <c r="AI8" s="61">
        <v>1</v>
      </c>
      <c r="AJ8" s="61">
        <v>0</v>
      </c>
      <c r="AK8" s="61">
        <v>0</v>
      </c>
      <c r="AL8" s="64" t="s">
        <v>41</v>
      </c>
      <c r="AM8" s="64" t="s">
        <v>42</v>
      </c>
    </row>
    <row r="9" spans="1:39" ht="18" customHeight="1">
      <c r="A9" s="86" t="s">
        <v>44</v>
      </c>
      <c r="B9" s="87" t="s">
        <v>45</v>
      </c>
      <c r="C9" s="82" t="s">
        <v>15</v>
      </c>
      <c r="D9" s="82" t="s">
        <v>16</v>
      </c>
      <c r="E9" s="65" t="str">
        <f>HYPERLINK("https://ictv.global/taxonomy/taxondetails?taxnode_id=202302583", "202302583")</f>
        <v>202302583</v>
      </c>
      <c r="F9" s="83">
        <v>1</v>
      </c>
      <c r="G9" s="3" t="s">
        <v>775</v>
      </c>
      <c r="H9" s="68" t="s">
        <v>796</v>
      </c>
      <c r="I9" s="84">
        <v>2009</v>
      </c>
      <c r="J9" s="85" t="s">
        <v>47</v>
      </c>
      <c r="K9" s="85" t="s">
        <v>757</v>
      </c>
      <c r="L9" s="76">
        <v>-15.387525999999999</v>
      </c>
      <c r="M9" s="76">
        <v>28.322817000000001</v>
      </c>
      <c r="N9" s="66" t="str">
        <f>HYPERLINK("https://www.ncbi.nlm.nih.gov/pubmed/19478873", "19478873")</f>
        <v>19478873</v>
      </c>
      <c r="O9" s="57">
        <v>3</v>
      </c>
      <c r="P9" s="54">
        <v>25393244</v>
      </c>
      <c r="Q9" s="54"/>
      <c r="R9" s="54"/>
      <c r="S9" s="7">
        <v>0</v>
      </c>
      <c r="T9" s="77"/>
      <c r="U9" s="53"/>
      <c r="V9" s="53"/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1</v>
      </c>
      <c r="AE9" s="30">
        <v>25393244</v>
      </c>
      <c r="AF9" s="30"/>
      <c r="AG9" s="61">
        <v>0</v>
      </c>
      <c r="AH9" s="61">
        <v>0</v>
      </c>
      <c r="AI9" s="61">
        <v>1</v>
      </c>
      <c r="AJ9" s="61">
        <v>0</v>
      </c>
      <c r="AK9" s="61">
        <v>0</v>
      </c>
      <c r="AL9" s="64" t="s">
        <v>46</v>
      </c>
      <c r="AM9" s="64"/>
    </row>
    <row r="10" spans="1:39" ht="18" customHeight="1">
      <c r="A10" s="86" t="s">
        <v>48</v>
      </c>
      <c r="B10" s="87" t="s">
        <v>49</v>
      </c>
      <c r="C10" s="82" t="s">
        <v>15</v>
      </c>
      <c r="D10" s="82" t="s">
        <v>16</v>
      </c>
      <c r="E10" s="65" t="str">
        <f>HYPERLINK("https://ictv.global/taxonomy/taxondetails?taxnode_id=202302587", "202302587")</f>
        <v>202302587</v>
      </c>
      <c r="F10" s="83">
        <v>1</v>
      </c>
      <c r="G10" s="3" t="s">
        <v>775</v>
      </c>
      <c r="H10" s="68" t="s">
        <v>797</v>
      </c>
      <c r="I10" s="84">
        <v>1964</v>
      </c>
      <c r="J10" s="85" t="s">
        <v>746</v>
      </c>
      <c r="K10" s="85" t="s">
        <v>401</v>
      </c>
      <c r="L10" s="76">
        <v>-14.378275</v>
      </c>
      <c r="M10" s="76">
        <v>-65.095778999999993</v>
      </c>
      <c r="N10" s="66" t="str">
        <f>HYPERLINK("https://www.ncbi.nlm.nih.gov/pubmed/14196061", "14196061")</f>
        <v>14196061</v>
      </c>
      <c r="O10" s="28">
        <v>3</v>
      </c>
      <c r="P10" s="54">
        <v>24636947</v>
      </c>
      <c r="Q10" s="54" t="str">
        <f>HYPERLINK("https://pubmed.ncbi.nlm.nih.gov/33640478/", "33640478")</f>
        <v>33640478</v>
      </c>
      <c r="R10" s="54"/>
      <c r="S10" s="7">
        <v>0</v>
      </c>
      <c r="T10" s="77"/>
      <c r="U10" s="53"/>
      <c r="V10" s="53"/>
      <c r="W10" s="7" t="s">
        <v>17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 t="s">
        <v>17</v>
      </c>
      <c r="AD10" s="7" t="s">
        <v>17</v>
      </c>
      <c r="AE10" s="30" t="str">
        <f>HYPERLINK("https://pubmed.ncbi.nlm.nih.gov/38575867/", "38575867")</f>
        <v>38575867</v>
      </c>
      <c r="AF10" s="30" t="str">
        <f>HYPERLINK("https://pubmed.ncbi.nlm.nih.gov/24636947/", "24636947")</f>
        <v>24636947</v>
      </c>
      <c r="AG10" s="61">
        <v>0</v>
      </c>
      <c r="AH10" s="61">
        <v>0</v>
      </c>
      <c r="AI10" s="61">
        <v>1</v>
      </c>
      <c r="AJ10" s="61">
        <v>0</v>
      </c>
      <c r="AK10" s="61">
        <v>0</v>
      </c>
      <c r="AL10" s="64" t="s">
        <v>50</v>
      </c>
      <c r="AM10" s="64"/>
    </row>
    <row r="11" spans="1:39" ht="18" customHeight="1">
      <c r="A11" s="86" t="s">
        <v>655</v>
      </c>
      <c r="B11" s="87" t="s">
        <v>51</v>
      </c>
      <c r="C11" s="82" t="s">
        <v>15</v>
      </c>
      <c r="D11" s="82" t="s">
        <v>16</v>
      </c>
      <c r="E11" s="65" t="str">
        <f>HYPERLINK("https://ictv.global/taxonomy/taxondetails?taxnode_id=202302590","202302590")</f>
        <v>202302590</v>
      </c>
      <c r="F11" s="83">
        <v>1</v>
      </c>
      <c r="G11" s="3" t="s">
        <v>775</v>
      </c>
      <c r="H11" s="68" t="s">
        <v>798</v>
      </c>
      <c r="I11" s="84">
        <v>1985</v>
      </c>
      <c r="J11" s="85" t="s">
        <v>52</v>
      </c>
      <c r="K11" s="85" t="s">
        <v>757</v>
      </c>
      <c r="L11" s="76">
        <v>4.8887739999999997</v>
      </c>
      <c r="M11" s="76">
        <v>18.142866999999999</v>
      </c>
      <c r="N11" s="66" t="str">
        <f>HYPERLINK("https://www.ncbi.nlm.nih.gov/pubmed/2986324", "2986324")</f>
        <v>2986324</v>
      </c>
      <c r="O11" s="28">
        <v>2</v>
      </c>
      <c r="P11" s="54">
        <v>2986324</v>
      </c>
      <c r="Q11" s="54">
        <v>26982388</v>
      </c>
      <c r="R11" s="54"/>
      <c r="S11" s="7">
        <v>0</v>
      </c>
      <c r="T11" s="77"/>
      <c r="U11" s="53"/>
      <c r="V11" s="53"/>
      <c r="W11" s="7" t="s">
        <v>17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30">
        <v>26982388</v>
      </c>
      <c r="AF11" s="30" t="str">
        <f>HYPERLINK("https://pubmed.ncbi.nlm.nih.gov/33986310/", "33986310")</f>
        <v>33986310</v>
      </c>
      <c r="AG11" s="62">
        <v>0</v>
      </c>
      <c r="AH11" s="62">
        <v>0</v>
      </c>
      <c r="AI11" s="61">
        <v>1</v>
      </c>
      <c r="AJ11" s="61">
        <v>0</v>
      </c>
      <c r="AK11" s="61">
        <v>0</v>
      </c>
      <c r="AL11" s="64">
        <v>26982388</v>
      </c>
      <c r="AM11" s="64"/>
    </row>
    <row r="12" spans="1:39" ht="18" customHeight="1">
      <c r="A12" s="83" t="s">
        <v>977</v>
      </c>
      <c r="B12" s="82" t="s">
        <v>975</v>
      </c>
      <c r="C12" s="82" t="s">
        <v>15</v>
      </c>
      <c r="D12" s="82" t="s">
        <v>16</v>
      </c>
      <c r="E12" s="65" t="str">
        <f>HYPERLINK("https://ictv.global/taxonomy/taxondetails?taxnode_id=202302601","202302601")</f>
        <v>202302601</v>
      </c>
      <c r="F12" s="10">
        <v>1</v>
      </c>
      <c r="G12" s="3" t="s">
        <v>775</v>
      </c>
      <c r="H12" s="68" t="s">
        <v>990</v>
      </c>
      <c r="I12" s="84">
        <v>2016</v>
      </c>
      <c r="J12" s="45" t="s">
        <v>646</v>
      </c>
      <c r="K12" s="85" t="s">
        <v>754</v>
      </c>
      <c r="L12" s="75">
        <v>12.2226145413151</v>
      </c>
      <c r="M12" s="75">
        <v>105.301435562818</v>
      </c>
      <c r="N12" s="66" t="str">
        <f>HYPERLINK("https://www.ncbi.nlm.nih.gov/pubmed/27278118", "27278118")</f>
        <v>27278118</v>
      </c>
      <c r="O12" s="27">
        <v>2</v>
      </c>
      <c r="P12" s="54" t="str">
        <f>HYPERLINK("https://pubmed.ncbi.nlm.nih.gov/27278118/", "27278118")</f>
        <v>27278118</v>
      </c>
      <c r="Q12" s="54"/>
      <c r="R12" s="55"/>
      <c r="S12" s="7">
        <v>0</v>
      </c>
      <c r="T12" s="77"/>
      <c r="U12" s="53"/>
      <c r="V12" s="53"/>
      <c r="W12" s="11" t="s">
        <v>17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 t="s">
        <v>17</v>
      </c>
      <c r="AD12" s="11">
        <v>0</v>
      </c>
      <c r="AE12" s="30">
        <v>27278118</v>
      </c>
      <c r="AF12" s="53" t="s">
        <v>782</v>
      </c>
      <c r="AG12" s="63">
        <v>0</v>
      </c>
      <c r="AH12" s="63">
        <v>0</v>
      </c>
      <c r="AI12" s="63">
        <v>1</v>
      </c>
      <c r="AJ12" s="63">
        <v>0</v>
      </c>
      <c r="AK12" s="63">
        <v>0</v>
      </c>
      <c r="AL12" s="64">
        <v>38031051</v>
      </c>
      <c r="AM12" s="64">
        <v>37394841</v>
      </c>
    </row>
    <row r="13" spans="1:39" ht="18" customHeight="1">
      <c r="A13" s="86" t="s">
        <v>53</v>
      </c>
      <c r="B13" s="87" t="s">
        <v>54</v>
      </c>
      <c r="C13" s="82" t="s">
        <v>15</v>
      </c>
      <c r="D13" s="82" t="s">
        <v>16</v>
      </c>
      <c r="E13" s="65" t="str">
        <f>HYPERLINK("https://ictv.global/taxonomy/taxondetails?taxnode_id=202302602","202302602")</f>
        <v>202302602</v>
      </c>
      <c r="F13" s="83">
        <v>1</v>
      </c>
      <c r="G13" s="3" t="s">
        <v>775</v>
      </c>
      <c r="H13" s="68" t="s">
        <v>799</v>
      </c>
      <c r="I13" s="84">
        <v>2000</v>
      </c>
      <c r="J13" s="85" t="s">
        <v>29</v>
      </c>
      <c r="K13" s="85" t="s">
        <v>755</v>
      </c>
      <c r="L13" s="76">
        <v>37.601689</v>
      </c>
      <c r="M13" s="76">
        <v>-121.71954599999999</v>
      </c>
      <c r="N13" s="66" t="str">
        <f>HYPERLINK("https://www.ncbi.nlm.nih.gov/pubmed/10960307", "10960307")</f>
        <v>10960307</v>
      </c>
      <c r="O13" s="28">
        <v>2</v>
      </c>
      <c r="P13" s="54">
        <v>10958585</v>
      </c>
      <c r="Q13" s="54" t="str">
        <f>HYPERLINK("https://pubmed.ncbi.nlm.nih.gov/35247117/", "35247117")</f>
        <v>35247117</v>
      </c>
      <c r="R13" s="54"/>
      <c r="S13" s="7">
        <v>0</v>
      </c>
      <c r="T13" s="77"/>
      <c r="U13" s="53"/>
      <c r="V13" s="53"/>
      <c r="W13" s="7">
        <v>1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30" t="s">
        <v>55</v>
      </c>
      <c r="AF13" s="30"/>
      <c r="AG13" s="61">
        <v>0</v>
      </c>
      <c r="AH13" s="61">
        <v>0</v>
      </c>
      <c r="AI13" s="61">
        <v>1</v>
      </c>
      <c r="AJ13" s="61">
        <v>0</v>
      </c>
      <c r="AK13" s="61">
        <v>0</v>
      </c>
      <c r="AL13" s="64" t="s">
        <v>55</v>
      </c>
      <c r="AM13" s="64"/>
    </row>
    <row r="14" spans="1:39" ht="18" customHeight="1">
      <c r="A14" s="86" t="s">
        <v>656</v>
      </c>
      <c r="B14" s="87" t="s">
        <v>56</v>
      </c>
      <c r="C14" s="82" t="s">
        <v>57</v>
      </c>
      <c r="D14" s="82" t="s">
        <v>58</v>
      </c>
      <c r="E14" s="65" t="str">
        <f>HYPERLINK("https://ictv.global/taxonomy/taxondetails?taxnode_id=202302626","202302626")</f>
        <v>202302626</v>
      </c>
      <c r="F14" s="83">
        <v>0</v>
      </c>
      <c r="G14" s="3" t="s">
        <v>776</v>
      </c>
      <c r="H14" s="68" t="s">
        <v>800</v>
      </c>
      <c r="I14" s="84">
        <v>1975</v>
      </c>
      <c r="J14" s="85" t="s">
        <v>61</v>
      </c>
      <c r="K14" s="85" t="s">
        <v>753</v>
      </c>
      <c r="L14" s="76">
        <v>51.507351</v>
      </c>
      <c r="M14" s="76">
        <v>-0.12775800000000001</v>
      </c>
      <c r="N14" s="66" t="str">
        <f>HYPERLINK("https://www.ncbi.nlm.nih.gov/pubmed/48925", "48925")</f>
        <v>48925</v>
      </c>
      <c r="O14" s="28" t="s">
        <v>60</v>
      </c>
      <c r="P14" s="54">
        <v>25278582</v>
      </c>
      <c r="Q14" s="54"/>
      <c r="R14" s="54"/>
      <c r="S14" s="7">
        <v>0</v>
      </c>
      <c r="T14" s="77"/>
      <c r="U14" s="53"/>
      <c r="V14" s="53"/>
      <c r="W14" s="7">
        <v>0</v>
      </c>
      <c r="X14" s="7">
        <v>1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30" t="s">
        <v>59</v>
      </c>
      <c r="AF14" s="30"/>
      <c r="AG14" s="61">
        <v>1</v>
      </c>
      <c r="AH14" s="61">
        <v>0</v>
      </c>
      <c r="AI14" s="61">
        <v>0</v>
      </c>
      <c r="AJ14" s="61">
        <v>0</v>
      </c>
      <c r="AK14" s="61">
        <v>0</v>
      </c>
      <c r="AL14" s="64" t="str">
        <f>HYPERLINK("https://pubmed.ncbi.nlm.nih.gov/33249166/", "33249166")</f>
        <v>33249166</v>
      </c>
      <c r="AM14" s="64" t="str">
        <f>HYPERLINK("https://pubmed.ncbi.nlm.nih.gov/32357556/", "32357556")</f>
        <v>32357556</v>
      </c>
    </row>
    <row r="15" spans="1:39" ht="18" customHeight="1">
      <c r="A15" s="80" t="s">
        <v>657</v>
      </c>
      <c r="B15" s="81" t="s">
        <v>62</v>
      </c>
      <c r="C15" s="82" t="s">
        <v>57</v>
      </c>
      <c r="D15" s="82" t="s">
        <v>58</v>
      </c>
      <c r="E15" s="65" t="str">
        <f>HYPERLINK("https://ictv.global/taxonomy/taxondetails?taxnode_id=202302633","202302633")</f>
        <v>202302633</v>
      </c>
      <c r="F15" s="83">
        <v>0</v>
      </c>
      <c r="G15" s="3" t="s">
        <v>776</v>
      </c>
      <c r="H15" s="68" t="s">
        <v>801</v>
      </c>
      <c r="I15" s="84">
        <v>2009</v>
      </c>
      <c r="J15" s="85" t="s">
        <v>29</v>
      </c>
      <c r="K15" s="85" t="s">
        <v>755</v>
      </c>
      <c r="L15" s="74">
        <v>38.627003000000002</v>
      </c>
      <c r="M15" s="74">
        <v>-90.199404000000001</v>
      </c>
      <c r="N15" s="66" t="str">
        <f>HYPERLINK("https://www.ncbi.nlm.nih.gov/pubmed/19814825", "19814825")</f>
        <v>19814825</v>
      </c>
      <c r="O15" s="28" t="s">
        <v>60</v>
      </c>
      <c r="P15" s="54">
        <v>19814825</v>
      </c>
      <c r="Q15" s="54"/>
      <c r="R15" s="54"/>
      <c r="S15" s="7">
        <v>0</v>
      </c>
      <c r="T15" s="77"/>
      <c r="U15" s="53"/>
      <c r="V15" s="53"/>
      <c r="W15" s="7">
        <v>0</v>
      </c>
      <c r="X15" s="7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30" t="s">
        <v>63</v>
      </c>
      <c r="AF15" s="30"/>
      <c r="AG15" s="61">
        <v>1</v>
      </c>
      <c r="AH15" s="61">
        <v>0</v>
      </c>
      <c r="AI15" s="61">
        <v>0</v>
      </c>
      <c r="AJ15" s="61">
        <v>0</v>
      </c>
      <c r="AK15" s="61">
        <v>0</v>
      </c>
      <c r="AL15" s="64" t="s">
        <v>63</v>
      </c>
      <c r="AM15" s="64" t="str">
        <f>HYPERLINK("https://pubmed.ncbi.nlm.nih.gov/36694817/", "36694817")</f>
        <v>36694817</v>
      </c>
    </row>
    <row r="16" spans="1:39" ht="18" customHeight="1">
      <c r="A16" s="86" t="s">
        <v>658</v>
      </c>
      <c r="B16" s="87" t="s">
        <v>64</v>
      </c>
      <c r="C16" s="82" t="s">
        <v>57</v>
      </c>
      <c r="D16" s="82" t="s">
        <v>58</v>
      </c>
      <c r="E16" s="65" t="str">
        <f>HYPERLINK("https://ictv.global/taxonomy/taxondetails?taxnode_id=202302631","202302631")</f>
        <v>202302631</v>
      </c>
      <c r="F16" s="83">
        <v>0</v>
      </c>
      <c r="G16" s="3" t="s">
        <v>776</v>
      </c>
      <c r="H16" s="68" t="s">
        <v>802</v>
      </c>
      <c r="I16" s="84">
        <v>2008</v>
      </c>
      <c r="J16" s="85" t="s">
        <v>66</v>
      </c>
      <c r="K16" s="85" t="s">
        <v>752</v>
      </c>
      <c r="L16" s="74">
        <v>-37.813628000000001</v>
      </c>
      <c r="M16" s="74">
        <v>144.96305799999999</v>
      </c>
      <c r="N16" s="66" t="str">
        <f>HYPERLINK("https://www.ncbi.nlm.nih.gov/pubmed/18398449", "18398449")</f>
        <v>18398449</v>
      </c>
      <c r="O16" s="28" t="s">
        <v>60</v>
      </c>
      <c r="P16" s="54">
        <v>19239759</v>
      </c>
      <c r="Q16" s="54"/>
      <c r="R16" s="54"/>
      <c r="S16" s="7">
        <v>0</v>
      </c>
      <c r="T16" s="77"/>
      <c r="U16" s="53"/>
      <c r="V16" s="53"/>
      <c r="W16" s="7">
        <v>0</v>
      </c>
      <c r="X16" s="7">
        <v>1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30" t="s">
        <v>65</v>
      </c>
      <c r="AF16" s="30">
        <v>24789796</v>
      </c>
      <c r="AG16" s="61">
        <v>1</v>
      </c>
      <c r="AH16" s="61">
        <v>0</v>
      </c>
      <c r="AI16" s="61">
        <v>0</v>
      </c>
      <c r="AJ16" s="61">
        <v>0</v>
      </c>
      <c r="AK16" s="61">
        <v>0</v>
      </c>
      <c r="AL16" s="64" t="s">
        <v>65</v>
      </c>
      <c r="AM16" s="64"/>
    </row>
    <row r="17" spans="1:74" ht="18" customHeight="1">
      <c r="A17" s="86" t="s">
        <v>659</v>
      </c>
      <c r="B17" s="87" t="s">
        <v>67</v>
      </c>
      <c r="C17" s="82" t="s">
        <v>57</v>
      </c>
      <c r="D17" s="82" t="s">
        <v>58</v>
      </c>
      <c r="E17" s="65" t="str">
        <f>HYPERLINK("https://ictv.global/taxonomy/taxondetails?taxnode_id=202302634","202302634")</f>
        <v>202302634</v>
      </c>
      <c r="F17" s="83">
        <v>0</v>
      </c>
      <c r="G17" s="3" t="s">
        <v>776</v>
      </c>
      <c r="H17" s="68" t="s">
        <v>803</v>
      </c>
      <c r="I17" s="84">
        <v>2009</v>
      </c>
      <c r="J17" s="85" t="s">
        <v>29</v>
      </c>
      <c r="K17" s="85" t="s">
        <v>755</v>
      </c>
      <c r="L17" s="76">
        <v>37.706332000000003</v>
      </c>
      <c r="M17" s="76">
        <v>-75.806908000000007</v>
      </c>
      <c r="N17" s="66" t="str">
        <f>HYPERLINK("https://www.ncbi.nlm.nih.gov/pubmed/19706703", "19706703")</f>
        <v>19706703</v>
      </c>
      <c r="O17" s="28" t="s">
        <v>60</v>
      </c>
      <c r="P17" s="54">
        <v>19706703</v>
      </c>
      <c r="Q17" s="54"/>
      <c r="R17" s="54"/>
      <c r="S17" s="7">
        <v>0</v>
      </c>
      <c r="T17" s="77"/>
      <c r="U17" s="53"/>
      <c r="V17" s="53"/>
      <c r="W17" s="7">
        <v>0</v>
      </c>
      <c r="X17" s="7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30" t="s">
        <v>68</v>
      </c>
      <c r="AF17" s="30"/>
      <c r="AG17" s="61">
        <v>1</v>
      </c>
      <c r="AH17" s="61">
        <v>0</v>
      </c>
      <c r="AI17" s="61">
        <v>0</v>
      </c>
      <c r="AJ17" s="61">
        <v>0</v>
      </c>
      <c r="AK17" s="61">
        <v>0</v>
      </c>
      <c r="AL17" s="64" t="s">
        <v>68</v>
      </c>
      <c r="AM17" s="64"/>
    </row>
    <row r="18" spans="1:74" ht="18" customHeight="1">
      <c r="A18" s="80" t="s">
        <v>69</v>
      </c>
      <c r="B18" s="81" t="s">
        <v>70</v>
      </c>
      <c r="C18" s="81" t="s">
        <v>71</v>
      </c>
      <c r="D18" s="82" t="s">
        <v>72</v>
      </c>
      <c r="E18" s="65" t="str">
        <f>HYPERLINK("https://ictv.global/taxonomy/taxondetails?taxnode_id=202301553","202301553")</f>
        <v>202301553</v>
      </c>
      <c r="F18" s="83">
        <v>1</v>
      </c>
      <c r="G18" s="3" t="s">
        <v>774</v>
      </c>
      <c r="H18" s="68" t="s">
        <v>804</v>
      </c>
      <c r="I18" s="84">
        <v>1985</v>
      </c>
      <c r="J18" s="85" t="s">
        <v>74</v>
      </c>
      <c r="K18" s="85" t="s">
        <v>753</v>
      </c>
      <c r="L18" s="74">
        <v>50.584051000000002</v>
      </c>
      <c r="M18" s="74">
        <v>8.6784029999999994</v>
      </c>
      <c r="N18" s="66" t="str">
        <f>HYPERLINK("https://www.ncbi.nlm.nih.gov/pubmed/3922055", "3922055")</f>
        <v>3922055</v>
      </c>
      <c r="O18" s="28">
        <v>3</v>
      </c>
      <c r="P18" s="54">
        <v>10089006</v>
      </c>
      <c r="Q18" s="54">
        <v>11189720</v>
      </c>
      <c r="R18" s="54" t="str">
        <f>HYPERLINK("https://pubmed.ncbi.nlm.nih.gov/30281984/", "30281984")</f>
        <v>30281984</v>
      </c>
      <c r="S18" s="7">
        <v>0</v>
      </c>
      <c r="T18" s="77"/>
      <c r="U18" s="53"/>
      <c r="V18" s="53"/>
      <c r="W18" s="7">
        <v>0</v>
      </c>
      <c r="X18" s="7">
        <v>0</v>
      </c>
      <c r="Y18" s="7">
        <v>0</v>
      </c>
      <c r="Z18" s="7">
        <v>1</v>
      </c>
      <c r="AA18" s="7">
        <v>0</v>
      </c>
      <c r="AB18" s="7">
        <v>0</v>
      </c>
      <c r="AC18" s="7">
        <v>0</v>
      </c>
      <c r="AD18" s="7">
        <v>1</v>
      </c>
      <c r="AE18" s="30" t="s">
        <v>73</v>
      </c>
      <c r="AF18" s="30" t="str">
        <f>HYPERLINK("https://pubmed.ncbi.nlm.nih.gov/30281984/", "30281984")</f>
        <v>30281984</v>
      </c>
      <c r="AG18" s="61">
        <v>0</v>
      </c>
      <c r="AH18" s="61">
        <v>1</v>
      </c>
      <c r="AI18" s="61">
        <v>1</v>
      </c>
      <c r="AJ18" s="61">
        <v>0</v>
      </c>
      <c r="AK18" s="61">
        <v>0</v>
      </c>
      <c r="AL18" s="64" t="s">
        <v>73</v>
      </c>
      <c r="AM18" s="64"/>
    </row>
    <row r="19" spans="1:74" ht="18" customHeight="1">
      <c r="A19" s="80" t="s">
        <v>660</v>
      </c>
      <c r="B19" s="81" t="s">
        <v>75</v>
      </c>
      <c r="C19" s="81" t="s">
        <v>71</v>
      </c>
      <c r="D19" s="82" t="s">
        <v>72</v>
      </c>
      <c r="E19" s="65" t="str">
        <f>HYPERLINK("https://ictv.global/taxonomy/taxondetails?taxnode_id=202301554", "202301554")</f>
        <v>202301554</v>
      </c>
      <c r="F19" s="83">
        <v>1</v>
      </c>
      <c r="G19" s="3" t="s">
        <v>774</v>
      </c>
      <c r="H19" s="68" t="s">
        <v>805</v>
      </c>
      <c r="I19" s="84">
        <v>2015</v>
      </c>
      <c r="J19" s="85" t="s">
        <v>74</v>
      </c>
      <c r="K19" s="85" t="s">
        <v>753</v>
      </c>
      <c r="L19" s="76">
        <v>51.950265000000002</v>
      </c>
      <c r="M19" s="76">
        <v>11.692273</v>
      </c>
      <c r="N19" s="66" t="str">
        <f>HYPERLINK("https://www.ncbi.nlm.nih.gov/pubmed/26154788", "26154788")</f>
        <v>26154788</v>
      </c>
      <c r="O19" s="28">
        <v>2</v>
      </c>
      <c r="P19" s="54">
        <v>26154788</v>
      </c>
      <c r="Q19" s="54"/>
      <c r="R19" s="54"/>
      <c r="S19" s="7">
        <v>0</v>
      </c>
      <c r="T19" s="77"/>
      <c r="U19" s="53"/>
      <c r="V19" s="53"/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 t="s">
        <v>17</v>
      </c>
      <c r="AE19" s="30" t="s">
        <v>76</v>
      </c>
      <c r="AF19" s="30" t="str">
        <f>HYPERLINK("https://pubmed.ncbi.nlm.nih.gov/31388038/", "31388038")</f>
        <v>31388038</v>
      </c>
      <c r="AG19" s="61">
        <v>0</v>
      </c>
      <c r="AH19" s="61">
        <v>0</v>
      </c>
      <c r="AI19" s="61">
        <v>1</v>
      </c>
      <c r="AJ19" s="61">
        <v>0</v>
      </c>
      <c r="AK19" s="61">
        <v>0</v>
      </c>
      <c r="AL19" s="64" t="s">
        <v>76</v>
      </c>
      <c r="AM19" s="64"/>
    </row>
    <row r="20" spans="1:74" ht="18" customHeight="1">
      <c r="A20" s="86" t="s">
        <v>77</v>
      </c>
      <c r="B20" s="87" t="s">
        <v>78</v>
      </c>
      <c r="C20" s="82" t="s">
        <v>79</v>
      </c>
      <c r="D20" s="82" t="s">
        <v>80</v>
      </c>
      <c r="E20" s="65" t="str">
        <f>HYPERLINK("https://ictv.global/taxonomy/taxondetails?taxnode_id=202302806","202302806")</f>
        <v>202302806</v>
      </c>
      <c r="F20" s="83">
        <v>0</v>
      </c>
      <c r="G20" s="3" t="s">
        <v>776</v>
      </c>
      <c r="H20" s="68" t="s">
        <v>806</v>
      </c>
      <c r="I20" s="84">
        <v>1972</v>
      </c>
      <c r="J20" s="85" t="s">
        <v>29</v>
      </c>
      <c r="K20" s="85" t="s">
        <v>755</v>
      </c>
      <c r="L20" s="76">
        <v>41.242553000000001</v>
      </c>
      <c r="M20" s="76">
        <v>-82.615733000000006</v>
      </c>
      <c r="N20" s="66" t="str">
        <f>HYPERLINK("https://www.ncbi.nlm.nih.gov/pubmed/4117963", "4117963")</f>
        <v>4117963</v>
      </c>
      <c r="O20" s="58" t="s">
        <v>81</v>
      </c>
      <c r="P20" s="54">
        <v>11479930</v>
      </c>
      <c r="Q20" s="54"/>
      <c r="R20" s="54"/>
      <c r="S20" s="7">
        <v>0</v>
      </c>
      <c r="T20" s="77"/>
      <c r="U20" s="53"/>
      <c r="V20" s="53"/>
      <c r="W20" s="7">
        <v>1</v>
      </c>
      <c r="X20" s="7">
        <v>1</v>
      </c>
      <c r="Y20" s="7">
        <v>0</v>
      </c>
      <c r="Z20" s="7">
        <v>0</v>
      </c>
      <c r="AA20" s="7">
        <v>1</v>
      </c>
      <c r="AB20" s="7">
        <v>0</v>
      </c>
      <c r="AC20" s="7">
        <v>0</v>
      </c>
      <c r="AD20" s="7">
        <v>1</v>
      </c>
      <c r="AE20" s="30" t="str">
        <f>HYPERLINK("https://pubmed.ncbi.nlm.nih.gov/27120472/", "27120472")</f>
        <v>27120472</v>
      </c>
      <c r="AF20" s="30" t="str">
        <f>HYPERLINK("https://pubmed.ncbi.nlm.nih.gov/30274562/", "30274562")</f>
        <v>30274562</v>
      </c>
      <c r="AG20" s="61">
        <v>0</v>
      </c>
      <c r="AH20" s="61">
        <v>0</v>
      </c>
      <c r="AI20" s="61">
        <v>1</v>
      </c>
      <c r="AJ20" s="61">
        <v>0</v>
      </c>
      <c r="AK20" s="61">
        <v>0</v>
      </c>
      <c r="AL20" s="64" t="s">
        <v>82</v>
      </c>
      <c r="AM20" s="64"/>
    </row>
    <row r="21" spans="1:74" ht="18" customHeight="1">
      <c r="A21" s="86" t="s">
        <v>83</v>
      </c>
      <c r="B21" s="87" t="s">
        <v>84</v>
      </c>
      <c r="C21" s="82" t="s">
        <v>85</v>
      </c>
      <c r="D21" s="82" t="s">
        <v>80</v>
      </c>
      <c r="E21" s="65" t="str">
        <f>HYPERLINK("https://ictv.global/taxonomy/taxondetails?taxnode_id=202302808","202302808")</f>
        <v>202302808</v>
      </c>
      <c r="F21" s="83">
        <v>0</v>
      </c>
      <c r="G21" s="3" t="s">
        <v>776</v>
      </c>
      <c r="H21" s="68" t="s">
        <v>807</v>
      </c>
      <c r="I21" s="84">
        <v>1980</v>
      </c>
      <c r="J21" s="85" t="s">
        <v>87</v>
      </c>
      <c r="K21" s="85" t="s">
        <v>754</v>
      </c>
      <c r="L21" s="76">
        <v>43.062095999999997</v>
      </c>
      <c r="M21" s="76">
        <v>141.354376</v>
      </c>
      <c r="N21" s="66" t="str">
        <f>HYPERLINK("https://www.ncbi.nlm.nih.gov/pubmed/7410899", "7410899")</f>
        <v>7410899</v>
      </c>
      <c r="O21" s="58" t="s">
        <v>81</v>
      </c>
      <c r="P21" s="54">
        <v>22752792</v>
      </c>
      <c r="Q21" s="54"/>
      <c r="R21" s="54"/>
      <c r="S21" s="7">
        <v>0</v>
      </c>
      <c r="T21" s="77"/>
      <c r="U21" s="53"/>
      <c r="V21" s="53"/>
      <c r="W21" s="7">
        <v>1</v>
      </c>
      <c r="X21" s="7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1</v>
      </c>
      <c r="AE21" s="30">
        <v>27120472</v>
      </c>
      <c r="AF21" s="30" t="str">
        <f>HYPERLINK("https://pubmed.ncbi.nlm.nih.gov/33261582/", "33261582")</f>
        <v>33261582</v>
      </c>
      <c r="AG21" s="61">
        <v>0</v>
      </c>
      <c r="AH21" s="61">
        <v>0</v>
      </c>
      <c r="AI21" s="61">
        <v>1</v>
      </c>
      <c r="AJ21" s="61">
        <v>0</v>
      </c>
      <c r="AK21" s="61">
        <v>0</v>
      </c>
      <c r="AL21" s="64" t="s">
        <v>86</v>
      </c>
      <c r="AM21" s="64"/>
    </row>
    <row r="22" spans="1:74" ht="18" customHeight="1">
      <c r="A22" s="86" t="s">
        <v>661</v>
      </c>
      <c r="B22" s="87" t="s">
        <v>88</v>
      </c>
      <c r="C22" s="82" t="s">
        <v>89</v>
      </c>
      <c r="D22" s="82" t="s">
        <v>80</v>
      </c>
      <c r="E22" s="65" t="str">
        <f>HYPERLINK("https://ictv.global/taxonomy/taxondetails?taxnode_id=202302811","202302811")</f>
        <v>202302811</v>
      </c>
      <c r="F22" s="83">
        <v>0</v>
      </c>
      <c r="G22" s="3" t="s">
        <v>776</v>
      </c>
      <c r="H22" s="68" t="s">
        <v>808</v>
      </c>
      <c r="I22" s="84">
        <v>1998</v>
      </c>
      <c r="J22" s="85" t="s">
        <v>29</v>
      </c>
      <c r="K22" s="85" t="s">
        <v>755</v>
      </c>
      <c r="L22" s="76">
        <v>44.564565999999999</v>
      </c>
      <c r="M22" s="76">
        <v>-123.262044</v>
      </c>
      <c r="N22" s="66" t="str">
        <f>HYPERLINK("https://www.ncbi.nlm.nih.gov/pubmed/9502467", "9502467")</f>
        <v>9502467</v>
      </c>
      <c r="O22" s="58">
        <v>2</v>
      </c>
      <c r="P22" s="54">
        <v>9502467</v>
      </c>
      <c r="Q22" s="54"/>
      <c r="R22" s="54"/>
      <c r="S22" s="7">
        <v>0</v>
      </c>
      <c r="T22" s="77"/>
      <c r="U22" s="53"/>
      <c r="V22" s="53"/>
      <c r="W22" s="7" t="s">
        <v>17</v>
      </c>
      <c r="X22" s="7" t="s">
        <v>17</v>
      </c>
      <c r="Y22" s="7">
        <v>0</v>
      </c>
      <c r="Z22" s="7">
        <v>0</v>
      </c>
      <c r="AA22" s="7" t="s">
        <v>17</v>
      </c>
      <c r="AB22" s="7">
        <v>0</v>
      </c>
      <c r="AC22" s="7">
        <v>0</v>
      </c>
      <c r="AD22" s="7">
        <v>0</v>
      </c>
      <c r="AE22" s="30">
        <v>6283714</v>
      </c>
      <c r="AF22" s="30" t="str">
        <f>HYPERLINK("https://pubmed.ncbi.nlm.nih.gov/10941736/", "10941736")</f>
        <v>10941736</v>
      </c>
      <c r="AG22" s="61">
        <v>0</v>
      </c>
      <c r="AH22" s="61">
        <v>0</v>
      </c>
      <c r="AI22" s="61">
        <v>1</v>
      </c>
      <c r="AJ22" s="61">
        <v>0</v>
      </c>
      <c r="AK22" s="61">
        <v>0</v>
      </c>
      <c r="AL22" s="64" t="s">
        <v>90</v>
      </c>
      <c r="AM22" s="64" t="str">
        <f>HYPERLINK("https://pubmed.ncbi.nlm.nih.gov/37570320/", "37570320")</f>
        <v>37570320</v>
      </c>
    </row>
    <row r="23" spans="1:74" ht="18" customHeight="1">
      <c r="A23" s="86" t="s">
        <v>662</v>
      </c>
      <c r="B23" s="87" t="s">
        <v>91</v>
      </c>
      <c r="C23" s="82" t="s">
        <v>92</v>
      </c>
      <c r="D23" s="82" t="s">
        <v>93</v>
      </c>
      <c r="E23" s="65" t="str">
        <f>HYPERLINK("https://ictv.global/taxonomy/taxondetails?taxnode_id=202301853","202301853")</f>
        <v>202301853</v>
      </c>
      <c r="F23" s="83">
        <v>1</v>
      </c>
      <c r="G23" s="3" t="s">
        <v>776</v>
      </c>
      <c r="H23" s="68" t="s">
        <v>809</v>
      </c>
      <c r="I23" s="84">
        <v>2004</v>
      </c>
      <c r="J23" s="85" t="s">
        <v>95</v>
      </c>
      <c r="K23" s="85" t="s">
        <v>753</v>
      </c>
      <c r="L23" s="76">
        <v>51.924419999999998</v>
      </c>
      <c r="M23" s="76">
        <v>4.4777329999999997</v>
      </c>
      <c r="N23" s="66" t="str">
        <f>HYPERLINK("https://www.ncbi.nlm.nih.gov/pubmed/15073334", "15073334")</f>
        <v>15073334</v>
      </c>
      <c r="O23" s="28" t="s">
        <v>60</v>
      </c>
      <c r="P23" s="54">
        <v>15034574</v>
      </c>
      <c r="Q23" s="54"/>
      <c r="R23" s="54"/>
      <c r="S23" s="7">
        <v>0</v>
      </c>
      <c r="T23" s="77"/>
      <c r="U23" s="53"/>
      <c r="V23" s="53"/>
      <c r="W23" s="7">
        <v>1</v>
      </c>
      <c r="X23" s="7">
        <v>0</v>
      </c>
      <c r="Y23" s="7">
        <v>0</v>
      </c>
      <c r="Z23" s="7">
        <v>0</v>
      </c>
      <c r="AA23" s="7">
        <v>1</v>
      </c>
      <c r="AB23" s="7">
        <v>0</v>
      </c>
      <c r="AC23" s="7">
        <v>0</v>
      </c>
      <c r="AD23" s="7">
        <v>0</v>
      </c>
      <c r="AE23" s="30">
        <v>21366416</v>
      </c>
      <c r="AF23" s="30" t="str">
        <f>HYPERLINK("https://www.ncbi.nlm.nih.gov/pubmed/18541340", "18541340")</f>
        <v>18541340</v>
      </c>
      <c r="AG23" s="61">
        <v>1</v>
      </c>
      <c r="AH23" s="61">
        <v>0</v>
      </c>
      <c r="AI23" s="61">
        <v>0</v>
      </c>
      <c r="AJ23" s="61">
        <v>0</v>
      </c>
      <c r="AK23" s="61">
        <v>0</v>
      </c>
      <c r="AL23" s="64" t="s">
        <v>94</v>
      </c>
      <c r="AM23" s="64"/>
    </row>
    <row r="24" spans="1:74" ht="18" customHeight="1">
      <c r="A24" s="86" t="s">
        <v>663</v>
      </c>
      <c r="B24" s="87" t="s">
        <v>96</v>
      </c>
      <c r="C24" s="82" t="s">
        <v>92</v>
      </c>
      <c r="D24" s="82" t="s">
        <v>93</v>
      </c>
      <c r="E24" s="65" t="str">
        <f>HYPERLINK("https://ictv.global/taxonomy/taxondetails?taxnode_id=202301852","202301852")</f>
        <v>202301852</v>
      </c>
      <c r="F24" s="83">
        <v>1</v>
      </c>
      <c r="G24" s="3" t="s">
        <v>776</v>
      </c>
      <c r="H24" s="68" t="s">
        <v>810</v>
      </c>
      <c r="I24" s="84">
        <v>1966</v>
      </c>
      <c r="J24" s="85" t="s">
        <v>29</v>
      </c>
      <c r="K24" s="85" t="s">
        <v>755</v>
      </c>
      <c r="L24" s="76">
        <v>41.878113999999997</v>
      </c>
      <c r="M24" s="76">
        <v>-87.629797999999994</v>
      </c>
      <c r="N24" s="66" t="str">
        <f>HYPERLINK("https://www.ncbi.nlm.nih.gov/pubmed/4285768", "4285768")</f>
        <v>4285768</v>
      </c>
      <c r="O24" s="28" t="s">
        <v>60</v>
      </c>
      <c r="P24" s="54">
        <v>29427907</v>
      </c>
      <c r="Q24" s="54"/>
      <c r="R24" s="54"/>
      <c r="S24" s="7">
        <v>0</v>
      </c>
      <c r="T24" s="77"/>
      <c r="U24" s="53"/>
      <c r="V24" s="53"/>
      <c r="W24" s="7">
        <v>1</v>
      </c>
      <c r="X24" s="7">
        <v>0</v>
      </c>
      <c r="Y24" s="7">
        <v>0</v>
      </c>
      <c r="Z24" s="7">
        <v>0</v>
      </c>
      <c r="AA24" s="7">
        <v>1</v>
      </c>
      <c r="AB24" s="7">
        <v>0</v>
      </c>
      <c r="AC24" s="7">
        <v>0</v>
      </c>
      <c r="AD24" s="7">
        <v>0</v>
      </c>
      <c r="AE24" s="30">
        <v>26556276</v>
      </c>
      <c r="AF24" s="30"/>
      <c r="AG24" s="61">
        <v>1</v>
      </c>
      <c r="AH24" s="61">
        <v>0</v>
      </c>
      <c r="AI24" s="61">
        <v>0</v>
      </c>
      <c r="AJ24" s="61">
        <v>0</v>
      </c>
      <c r="AK24" s="61">
        <v>0</v>
      </c>
      <c r="AL24" s="64" t="s">
        <v>97</v>
      </c>
      <c r="AM24" s="64"/>
    </row>
    <row r="25" spans="1:74" ht="18" customHeight="1">
      <c r="A25" s="86" t="s">
        <v>664</v>
      </c>
      <c r="B25" s="87" t="s">
        <v>98</v>
      </c>
      <c r="C25" s="82" t="s">
        <v>92</v>
      </c>
      <c r="D25" s="82" t="s">
        <v>93</v>
      </c>
      <c r="E25" s="65" t="str">
        <f>HYPERLINK("https://ictv.global/taxonomy/taxondetails?taxnode_id=202301849","202301849")</f>
        <v>202301849</v>
      </c>
      <c r="F25" s="83">
        <v>1</v>
      </c>
      <c r="G25" s="3" t="s">
        <v>776</v>
      </c>
      <c r="H25" s="68" t="s">
        <v>811</v>
      </c>
      <c r="I25" s="84">
        <v>2007</v>
      </c>
      <c r="J25" s="85" t="s">
        <v>87</v>
      </c>
      <c r="K25" s="85" t="s">
        <v>754</v>
      </c>
      <c r="L25" s="76">
        <v>35.607267</v>
      </c>
      <c r="M25" s="76">
        <v>140.106291</v>
      </c>
      <c r="N25" s="66" t="str">
        <f>HYPERLINK("https://www.ncbi.nlm.nih.gov/pubmed/17447647", "17447647")</f>
        <v>17447647</v>
      </c>
      <c r="O25" s="58">
        <v>2</v>
      </c>
      <c r="P25" s="54">
        <v>17447647</v>
      </c>
      <c r="Q25" s="54"/>
      <c r="R25" s="54"/>
      <c r="S25" s="7">
        <v>0</v>
      </c>
      <c r="T25" s="77"/>
      <c r="U25" s="53"/>
      <c r="V25" s="53"/>
      <c r="W25" s="7">
        <v>0</v>
      </c>
      <c r="X25" s="7" t="s">
        <v>17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30">
        <v>22320357</v>
      </c>
      <c r="AF25" s="30" t="str">
        <f>HYPERLINK("https://pubmed.ncbi.nlm.nih.gov/38511945/", "38511945")</f>
        <v>38511945</v>
      </c>
      <c r="AG25" s="61">
        <v>0</v>
      </c>
      <c r="AH25" s="61">
        <v>0</v>
      </c>
      <c r="AI25" s="61">
        <v>1</v>
      </c>
      <c r="AJ25" s="61">
        <v>0</v>
      </c>
      <c r="AK25" s="61">
        <v>0</v>
      </c>
      <c r="AL25" s="64">
        <v>22320357</v>
      </c>
      <c r="AM25" s="64">
        <v>28549438</v>
      </c>
    </row>
    <row r="26" spans="1:74" ht="18" customHeight="1">
      <c r="A26" s="86" t="s">
        <v>99</v>
      </c>
      <c r="B26" s="87" t="s">
        <v>100</v>
      </c>
      <c r="C26" s="82" t="s">
        <v>101</v>
      </c>
      <c r="D26" s="82" t="s">
        <v>93</v>
      </c>
      <c r="E26" s="65" t="str">
        <f>HYPERLINK("https://ictv.global/taxonomy/taxondetails?taxnode_id=202301864","202301864")</f>
        <v>202301864</v>
      </c>
      <c r="F26" s="83">
        <v>1</v>
      </c>
      <c r="G26" s="3" t="s">
        <v>776</v>
      </c>
      <c r="H26" s="68" t="s">
        <v>812</v>
      </c>
      <c r="I26" s="84">
        <v>2012</v>
      </c>
      <c r="J26" s="85" t="s">
        <v>103</v>
      </c>
      <c r="K26" s="85" t="s">
        <v>777</v>
      </c>
      <c r="L26" s="76">
        <v>21.285406999999999</v>
      </c>
      <c r="M26" s="76">
        <v>39.237551000000003</v>
      </c>
      <c r="N26" s="66" t="str">
        <f>HYPERLINK("https://www.ncbi.nlm.nih.gov/pubmed/23075143", "23075143")</f>
        <v>23075143</v>
      </c>
      <c r="O26" s="58">
        <v>3</v>
      </c>
      <c r="P26" s="54">
        <v>29846148</v>
      </c>
      <c r="Q26" s="54"/>
      <c r="R26" s="54"/>
      <c r="S26" s="7">
        <v>0</v>
      </c>
      <c r="T26" s="77"/>
      <c r="U26" s="53"/>
      <c r="V26" s="53"/>
      <c r="W26" s="7">
        <v>1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1</v>
      </c>
      <c r="AE26" s="30" t="s">
        <v>102</v>
      </c>
      <c r="AF26" s="30"/>
      <c r="AG26" s="61">
        <v>0</v>
      </c>
      <c r="AH26" s="61">
        <v>0</v>
      </c>
      <c r="AI26" s="61">
        <v>1</v>
      </c>
      <c r="AJ26" s="61">
        <v>0</v>
      </c>
      <c r="AK26" s="61">
        <v>0</v>
      </c>
      <c r="AL26" s="64" t="s">
        <v>102</v>
      </c>
      <c r="AM26" s="64"/>
    </row>
    <row r="27" spans="1:74" ht="18" customHeight="1">
      <c r="A27" s="86" t="s">
        <v>665</v>
      </c>
      <c r="B27" s="87" t="s">
        <v>104</v>
      </c>
      <c r="C27" s="82" t="s">
        <v>101</v>
      </c>
      <c r="D27" s="82" t="s">
        <v>93</v>
      </c>
      <c r="E27" s="65" t="str">
        <f>HYPERLINK("https://ictv.global/taxonomy/taxondetails?taxnode_id=202301861","202301861")</f>
        <v>202301861</v>
      </c>
      <c r="F27" s="83">
        <v>1</v>
      </c>
      <c r="G27" s="3" t="s">
        <v>776</v>
      </c>
      <c r="H27" s="68" t="s">
        <v>813</v>
      </c>
      <c r="I27" s="84">
        <v>1967</v>
      </c>
      <c r="J27" s="85" t="s">
        <v>29</v>
      </c>
      <c r="K27" s="85" t="s">
        <v>755</v>
      </c>
      <c r="L27" s="76">
        <v>38.984651999999997</v>
      </c>
      <c r="M27" s="76">
        <v>-77.094708999999995</v>
      </c>
      <c r="N27" s="66" t="str">
        <f>HYPERLINK("https://www.ncbi.nlm.nih.gov/pubmed/5231356", "5231356")</f>
        <v>5231356</v>
      </c>
      <c r="O27" s="58" t="s">
        <v>81</v>
      </c>
      <c r="P27" s="54">
        <v>28050020</v>
      </c>
      <c r="Q27" s="54">
        <v>15650185</v>
      </c>
      <c r="R27" s="54"/>
      <c r="S27" s="7">
        <v>0</v>
      </c>
      <c r="T27" s="77"/>
      <c r="U27" s="53"/>
      <c r="V27" s="53"/>
      <c r="W27" s="7">
        <v>1</v>
      </c>
      <c r="X27" s="7">
        <v>0</v>
      </c>
      <c r="Y27" s="7">
        <v>0</v>
      </c>
      <c r="Z27" s="7">
        <v>0</v>
      </c>
      <c r="AA27" s="7">
        <v>1</v>
      </c>
      <c r="AB27" s="7">
        <v>0</v>
      </c>
      <c r="AC27" s="7">
        <v>0</v>
      </c>
      <c r="AD27" s="7">
        <v>0</v>
      </c>
      <c r="AE27" s="30">
        <v>28549438</v>
      </c>
      <c r="AF27" s="30" t="str">
        <f>HYPERLINK("https://www.ncbi.nlm.nih.gov/pubmed/11023724", "11023724")</f>
        <v>11023724</v>
      </c>
      <c r="AG27" s="61">
        <v>0</v>
      </c>
      <c r="AH27" s="61">
        <v>0</v>
      </c>
      <c r="AI27" s="61">
        <v>1</v>
      </c>
      <c r="AJ27" s="61">
        <v>0</v>
      </c>
      <c r="AK27" s="61">
        <v>0</v>
      </c>
      <c r="AL27" s="64">
        <v>22362949</v>
      </c>
      <c r="AM27" s="64">
        <v>28549438</v>
      </c>
    </row>
    <row r="28" spans="1:74" ht="18" customHeight="1">
      <c r="A28" s="86" t="s">
        <v>105</v>
      </c>
      <c r="B28" s="87" t="s">
        <v>106</v>
      </c>
      <c r="C28" s="82" t="s">
        <v>101</v>
      </c>
      <c r="D28" s="82" t="s">
        <v>93</v>
      </c>
      <c r="E28" s="65" t="str">
        <f>HYPERLINK("https://ictv.global/taxonomy/taxondetails?taxnode_id=202301863","202301863")</f>
        <v>202301863</v>
      </c>
      <c r="F28" s="83">
        <v>1</v>
      </c>
      <c r="G28" s="3" t="s">
        <v>776</v>
      </c>
      <c r="H28" s="68" t="s">
        <v>814</v>
      </c>
      <c r="I28" s="84">
        <v>2005</v>
      </c>
      <c r="J28" s="85" t="s">
        <v>108</v>
      </c>
      <c r="K28" s="85" t="s">
        <v>754</v>
      </c>
      <c r="L28" s="76">
        <v>22.396428</v>
      </c>
      <c r="M28" s="76">
        <v>114.109497</v>
      </c>
      <c r="N28" s="66" t="str">
        <f>HYPERLINK("https://www.ncbi.nlm.nih.gov/pubmed/15613317", "15613317")</f>
        <v>15613317</v>
      </c>
      <c r="O28" s="28" t="s">
        <v>60</v>
      </c>
      <c r="P28" s="54">
        <v>28616442</v>
      </c>
      <c r="Q28" s="54"/>
      <c r="R28" s="54"/>
      <c r="S28" s="7">
        <v>0</v>
      </c>
      <c r="T28" s="77"/>
      <c r="U28" s="53"/>
      <c r="V28" s="53"/>
      <c r="W28" s="7">
        <v>1</v>
      </c>
      <c r="X28" s="7">
        <v>0</v>
      </c>
      <c r="Y28" s="7">
        <v>0</v>
      </c>
      <c r="Z28" s="7">
        <v>0</v>
      </c>
      <c r="AA28" s="7">
        <v>1</v>
      </c>
      <c r="AB28" s="7">
        <v>0</v>
      </c>
      <c r="AC28" s="7">
        <v>0</v>
      </c>
      <c r="AD28" s="7">
        <v>0</v>
      </c>
      <c r="AE28" s="30">
        <v>23161446</v>
      </c>
      <c r="AF28" s="30"/>
      <c r="AG28" s="61">
        <v>1</v>
      </c>
      <c r="AH28" s="61">
        <v>0</v>
      </c>
      <c r="AI28" s="61">
        <v>0</v>
      </c>
      <c r="AJ28" s="61">
        <v>0</v>
      </c>
      <c r="AK28" s="61">
        <v>0</v>
      </c>
      <c r="AL28" s="64" t="s">
        <v>107</v>
      </c>
      <c r="AM28" s="64"/>
    </row>
    <row r="29" spans="1:74" ht="18" customHeight="1">
      <c r="A29" s="86" t="s">
        <v>666</v>
      </c>
      <c r="B29" s="87" t="s">
        <v>109</v>
      </c>
      <c r="C29" s="82" t="s">
        <v>101</v>
      </c>
      <c r="D29" s="82" t="s">
        <v>93</v>
      </c>
      <c r="E29" s="65" t="str">
        <f>HYPERLINK("https://ictv.global/taxonomy/taxondetails?taxnode_id=202301868","202301868")</f>
        <v>202301868</v>
      </c>
      <c r="F29" s="83">
        <v>1</v>
      </c>
      <c r="G29" s="3" t="s">
        <v>776</v>
      </c>
      <c r="H29" s="68" t="s">
        <v>815</v>
      </c>
      <c r="I29" s="84">
        <v>2003</v>
      </c>
      <c r="J29" s="85" t="s">
        <v>108</v>
      </c>
      <c r="K29" s="85" t="s">
        <v>754</v>
      </c>
      <c r="L29" s="76">
        <v>22.396428</v>
      </c>
      <c r="M29" s="76">
        <v>114.109497</v>
      </c>
      <c r="N29" s="66" t="str">
        <f>HYPERLINK("https://www.ncbi.nlm.nih.gov/pubmed/12711465", "12711465")</f>
        <v>12711465</v>
      </c>
      <c r="O29" s="28" t="s">
        <v>81</v>
      </c>
      <c r="P29" s="54">
        <v>27344959</v>
      </c>
      <c r="Q29" s="54">
        <v>26336062</v>
      </c>
      <c r="R29" s="54"/>
      <c r="S29" s="7">
        <v>0</v>
      </c>
      <c r="T29" s="77"/>
      <c r="U29" s="53"/>
      <c r="V29" s="53"/>
      <c r="W29" s="7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30">
        <v>15018126</v>
      </c>
      <c r="AF29" s="30"/>
      <c r="AG29" s="61">
        <v>0</v>
      </c>
      <c r="AH29" s="61">
        <v>0</v>
      </c>
      <c r="AI29" s="61">
        <v>1</v>
      </c>
      <c r="AJ29" s="61">
        <v>0</v>
      </c>
      <c r="AK29" s="61">
        <v>0</v>
      </c>
      <c r="AL29" s="64" t="s">
        <v>110</v>
      </c>
      <c r="AM29" s="64"/>
    </row>
    <row r="30" spans="1:74" ht="18" customHeight="1">
      <c r="A30" s="86" t="s">
        <v>984</v>
      </c>
      <c r="B30" s="82" t="s">
        <v>785</v>
      </c>
      <c r="C30" s="82" t="s">
        <v>786</v>
      </c>
      <c r="D30" s="82" t="s">
        <v>93</v>
      </c>
      <c r="E30" s="65" t="str">
        <f>HYPERLINK("https://ictv.global/taxonomy/taxondetails?taxnode_id=202401873&amp;taxon_name=Deltacoronavirus%20suis", "202401873")</f>
        <v>202401873</v>
      </c>
      <c r="F30" s="83">
        <v>1</v>
      </c>
      <c r="G30" s="3" t="s">
        <v>776</v>
      </c>
      <c r="H30" s="68" t="s">
        <v>995</v>
      </c>
      <c r="I30" s="84">
        <v>2021</v>
      </c>
      <c r="J30" s="88" t="s">
        <v>976</v>
      </c>
      <c r="K30" s="88" t="s">
        <v>756</v>
      </c>
      <c r="L30" s="75">
        <v>18.540299999999998</v>
      </c>
      <c r="M30" s="75">
        <v>-72.527500000000003</v>
      </c>
      <c r="N30" s="66" t="str">
        <f>HYPERLINK("https://pubmed.ncbi.nlm.nih.gov/34789872/", "34789872")</f>
        <v>34789872</v>
      </c>
      <c r="O30" s="58">
        <v>2</v>
      </c>
      <c r="P30" s="54" t="str">
        <f>HYPERLINK("https://pubmed.ncbi.nlm.nih.gov/34789872/", "34789872")</f>
        <v>34789872</v>
      </c>
      <c r="Q30" s="54" t="str">
        <f>HYPERLINK("https://pubmed.ncbi.nlm.nih.gov/34524535/", "34524535")</f>
        <v>34524535</v>
      </c>
      <c r="R30" s="55"/>
      <c r="S30" s="7">
        <v>0</v>
      </c>
      <c r="T30" s="77"/>
      <c r="U30" s="53"/>
      <c r="V30" s="53"/>
      <c r="W30" s="7">
        <v>0</v>
      </c>
      <c r="X30" s="7">
        <v>1</v>
      </c>
      <c r="Y30" s="7">
        <v>0</v>
      </c>
      <c r="Z30" s="7">
        <v>0</v>
      </c>
      <c r="AA30" s="7">
        <v>1</v>
      </c>
      <c r="AB30" s="7">
        <v>0</v>
      </c>
      <c r="AC30" s="7">
        <v>0</v>
      </c>
      <c r="AD30" s="7">
        <v>1</v>
      </c>
      <c r="AE30" s="30" t="str">
        <f>HYPERLINK("https://pubmed.ncbi.nlm.nih.gov/34524535/", "34524535")</f>
        <v>34524535</v>
      </c>
      <c r="AF30" s="53"/>
      <c r="AG30" s="61">
        <v>0</v>
      </c>
      <c r="AH30" s="61">
        <v>0</v>
      </c>
      <c r="AI30" s="61">
        <v>1</v>
      </c>
      <c r="AJ30" s="61">
        <v>0</v>
      </c>
      <c r="AK30" s="61">
        <v>0</v>
      </c>
      <c r="AL30" s="64" t="str">
        <f>HYPERLINK("https://pubmed.ncbi.nlm.nih.gov/34789872/", "34789872")</f>
        <v>34789872</v>
      </c>
      <c r="AM30" s="64" t="str">
        <f>HYPERLINK("https://pubmed.ncbi.nlm.nih.gov/34524535/", "34524535")</f>
        <v>34524535</v>
      </c>
      <c r="AP30" s="31"/>
      <c r="AQ30" s="35"/>
      <c r="AS30" s="31"/>
      <c r="AT30" s="31"/>
      <c r="AU30" s="35"/>
      <c r="AV30" s="36"/>
      <c r="BC30" s="31"/>
      <c r="BD30" s="31"/>
      <c r="BJ30" s="37"/>
      <c r="BK30" s="37"/>
      <c r="BL30" s="32"/>
      <c r="BM30" s="32"/>
      <c r="BN30" s="38"/>
      <c r="BO30" s="39"/>
      <c r="BP30" s="39"/>
      <c r="BQ30" s="40"/>
      <c r="BR30" s="70"/>
      <c r="BS30" s="35"/>
      <c r="BT30" s="35"/>
      <c r="BV30" s="41"/>
    </row>
    <row r="31" spans="1:74" ht="18" customHeight="1">
      <c r="A31" s="86" t="s">
        <v>111</v>
      </c>
      <c r="B31" s="87" t="s">
        <v>112</v>
      </c>
      <c r="C31" s="82" t="s">
        <v>113</v>
      </c>
      <c r="D31" s="82" t="s">
        <v>114</v>
      </c>
      <c r="E31" s="65" t="str">
        <f>HYPERLINK("https://ictv.global/taxonomy/taxondetails?taxnode_id=202301565","202301565")</f>
        <v>202301565</v>
      </c>
      <c r="F31" s="83">
        <v>1</v>
      </c>
      <c r="G31" s="3" t="s">
        <v>774</v>
      </c>
      <c r="H31" s="68" t="s">
        <v>816</v>
      </c>
      <c r="I31" s="84">
        <v>2008</v>
      </c>
      <c r="J31" s="85" t="s">
        <v>116</v>
      </c>
      <c r="K31" s="85" t="s">
        <v>757</v>
      </c>
      <c r="L31" s="76">
        <v>0.70753100000000002</v>
      </c>
      <c r="M31" s="76">
        <v>30.063635000000001</v>
      </c>
      <c r="N31" s="66" t="str">
        <f>HYPERLINK("https://www.ncbi.nlm.nih.gov/pubmed/19023410", "19023410")</f>
        <v>19023410</v>
      </c>
      <c r="O31" s="58">
        <v>3</v>
      </c>
      <c r="P31" s="54">
        <v>20587179</v>
      </c>
      <c r="Q31" s="54"/>
      <c r="R31" s="54"/>
      <c r="S31" s="7">
        <v>0</v>
      </c>
      <c r="T31" s="77"/>
      <c r="U31" s="53"/>
      <c r="V31" s="53"/>
      <c r="W31" s="7">
        <v>0</v>
      </c>
      <c r="X31" s="7">
        <v>0</v>
      </c>
      <c r="Y31" s="7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30" t="s">
        <v>115</v>
      </c>
      <c r="AF31" s="30" t="str">
        <f>HYPERLINK("https://pubmed.ncbi.nlm.nih.gov/34467242/", "34467242")</f>
        <v>34467242</v>
      </c>
      <c r="AG31" s="61">
        <v>0</v>
      </c>
      <c r="AH31" s="61">
        <v>0</v>
      </c>
      <c r="AI31" s="61">
        <v>1</v>
      </c>
      <c r="AJ31" s="61">
        <v>0</v>
      </c>
      <c r="AK31" s="61">
        <v>0</v>
      </c>
      <c r="AL31" s="64" t="s">
        <v>115</v>
      </c>
      <c r="AM31" s="64"/>
    </row>
    <row r="32" spans="1:74" ht="18" customHeight="1">
      <c r="A32" s="86" t="s">
        <v>117</v>
      </c>
      <c r="B32" s="87" t="s">
        <v>118</v>
      </c>
      <c r="C32" s="82" t="s">
        <v>113</v>
      </c>
      <c r="D32" s="82" t="s">
        <v>114</v>
      </c>
      <c r="E32" s="65" t="str">
        <f>HYPERLINK("https://ictv.global/taxonomy/taxondetails?taxnode_id=202301566","202301566")</f>
        <v>202301566</v>
      </c>
      <c r="F32" s="83">
        <v>1</v>
      </c>
      <c r="G32" s="3" t="s">
        <v>774</v>
      </c>
      <c r="H32" s="68" t="s">
        <v>817</v>
      </c>
      <c r="I32" s="84">
        <v>1991</v>
      </c>
      <c r="J32" s="85" t="s">
        <v>121</v>
      </c>
      <c r="K32" s="85" t="s">
        <v>754</v>
      </c>
      <c r="L32" s="76">
        <v>14.599512000000001</v>
      </c>
      <c r="M32" s="76">
        <v>120.984219</v>
      </c>
      <c r="N32" s="66" t="str">
        <f>HYPERLINK("https://www.ncbi.nlm.nih.gov/pubmed/1671441", "1671441")</f>
        <v>1671441</v>
      </c>
      <c r="O32" s="28">
        <v>2</v>
      </c>
      <c r="P32" s="54">
        <v>1671441</v>
      </c>
      <c r="Q32" s="54" t="str">
        <f>HYPERLINK("https://pubmed.ncbi.nlm.nih.gov/33443221/", "33443221")</f>
        <v>33443221</v>
      </c>
      <c r="R32" s="54"/>
      <c r="S32" s="7">
        <v>0</v>
      </c>
      <c r="T32" s="77"/>
      <c r="U32" s="53"/>
      <c r="V32" s="53"/>
      <c r="W32" s="7">
        <v>0</v>
      </c>
      <c r="X32" s="7">
        <v>0</v>
      </c>
      <c r="Y32" s="7" t="s">
        <v>17</v>
      </c>
      <c r="Z32" s="7">
        <v>0</v>
      </c>
      <c r="AA32" s="7" t="s">
        <v>17</v>
      </c>
      <c r="AB32" s="7" t="s">
        <v>17</v>
      </c>
      <c r="AC32" s="7" t="s">
        <v>17</v>
      </c>
      <c r="AD32" s="7" t="s">
        <v>17</v>
      </c>
      <c r="AE32" s="30">
        <v>10024977</v>
      </c>
      <c r="AF32" s="30"/>
      <c r="AG32" s="61">
        <v>0</v>
      </c>
      <c r="AH32" s="61">
        <v>1</v>
      </c>
      <c r="AI32" s="61">
        <v>1</v>
      </c>
      <c r="AJ32" s="61">
        <v>0</v>
      </c>
      <c r="AK32" s="61">
        <v>0</v>
      </c>
      <c r="AL32" s="64" t="s">
        <v>119</v>
      </c>
      <c r="AM32" s="64" t="s">
        <v>120</v>
      </c>
    </row>
    <row r="33" spans="1:39" ht="18" customHeight="1">
      <c r="A33" s="80" t="s">
        <v>122</v>
      </c>
      <c r="B33" s="81" t="s">
        <v>123</v>
      </c>
      <c r="C33" s="82" t="s">
        <v>113</v>
      </c>
      <c r="D33" s="82" t="s">
        <v>114</v>
      </c>
      <c r="E33" s="65" t="str">
        <f>HYPERLINK("https://ictv.global/taxonomy/taxondetails?taxnode_id=202301567","202301567")</f>
        <v>202301567</v>
      </c>
      <c r="F33" s="83">
        <v>1</v>
      </c>
      <c r="G33" s="3" t="s">
        <v>774</v>
      </c>
      <c r="H33" s="68" t="s">
        <v>818</v>
      </c>
      <c r="I33" s="84">
        <v>1977</v>
      </c>
      <c r="J33" s="72" t="s">
        <v>125</v>
      </c>
      <c r="K33" s="85" t="s">
        <v>757</v>
      </c>
      <c r="L33" s="74">
        <v>4.9108080000000003</v>
      </c>
      <c r="M33" s="74">
        <v>29.452753999999999</v>
      </c>
      <c r="N33" s="66" t="str">
        <f>HYPERLINK("https://www.ncbi.nlm.nih.gov/pubmed/65662", "65662")</f>
        <v>65662</v>
      </c>
      <c r="O33" s="28">
        <v>3</v>
      </c>
      <c r="P33" s="54">
        <v>6370486</v>
      </c>
      <c r="Q33" s="54">
        <v>15178190</v>
      </c>
      <c r="R33" s="54"/>
      <c r="S33" s="7">
        <v>0</v>
      </c>
      <c r="T33" s="77"/>
      <c r="U33" s="53"/>
      <c r="V33" s="53"/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1</v>
      </c>
      <c r="AE33" s="30" t="s">
        <v>120</v>
      </c>
      <c r="AF33" s="30" t="str">
        <f>HYPERLINK("https://pubmed.ncbi.nlm.nih.gov/6370486/", "6370486")</f>
        <v>6370486</v>
      </c>
      <c r="AG33" s="61">
        <v>0</v>
      </c>
      <c r="AH33" s="61">
        <v>1</v>
      </c>
      <c r="AI33" s="61">
        <v>1</v>
      </c>
      <c r="AJ33" s="61">
        <v>0</v>
      </c>
      <c r="AK33" s="61">
        <v>0</v>
      </c>
      <c r="AL33" s="64" t="s">
        <v>120</v>
      </c>
      <c r="AM33" s="64" t="s">
        <v>124</v>
      </c>
    </row>
    <row r="34" spans="1:39" ht="18" customHeight="1">
      <c r="A34" s="80" t="s">
        <v>126</v>
      </c>
      <c r="B34" s="81" t="s">
        <v>127</v>
      </c>
      <c r="C34" s="82" t="s">
        <v>113</v>
      </c>
      <c r="D34" s="82" t="s">
        <v>114</v>
      </c>
      <c r="E34" s="65" t="str">
        <f>HYPERLINK("https://ictv.global/taxonomy/taxondetails?taxnode_id=202301568","202301568")</f>
        <v>202301568</v>
      </c>
      <c r="F34" s="83">
        <v>1</v>
      </c>
      <c r="G34" s="3" t="s">
        <v>774</v>
      </c>
      <c r="H34" s="68" t="s">
        <v>819</v>
      </c>
      <c r="I34" s="84">
        <v>1995</v>
      </c>
      <c r="J34" s="85" t="s">
        <v>128</v>
      </c>
      <c r="K34" s="85" t="s">
        <v>757</v>
      </c>
      <c r="L34" s="76">
        <v>5.3599519999999998</v>
      </c>
      <c r="M34" s="76">
        <v>-4.0082560000000003</v>
      </c>
      <c r="N34" s="66" t="str">
        <f>HYPERLINK("https://www.ncbi.nlm.nih.gov/pubmed/7746057", "7746057")</f>
        <v>7746057</v>
      </c>
      <c r="O34" s="28">
        <v>2</v>
      </c>
      <c r="P34" s="54">
        <v>27268907</v>
      </c>
      <c r="Q34" s="54">
        <v>8800792</v>
      </c>
      <c r="R34" s="54" t="str">
        <f>HYPERLINK("https://pubmed.ncbi.nlm.nih.gov/37849404/", "37849404")</f>
        <v>37849404</v>
      </c>
      <c r="S34" s="7">
        <v>0</v>
      </c>
      <c r="T34" s="77"/>
      <c r="U34" s="53"/>
      <c r="V34" s="53"/>
      <c r="W34" s="7">
        <v>0</v>
      </c>
      <c r="X34" s="7">
        <v>0</v>
      </c>
      <c r="Y34" s="7" t="s">
        <v>17</v>
      </c>
      <c r="Z34" s="7">
        <v>0</v>
      </c>
      <c r="AA34" s="7" t="s">
        <v>17</v>
      </c>
      <c r="AB34" s="7" t="s">
        <v>17</v>
      </c>
      <c r="AC34" s="7" t="s">
        <v>17</v>
      </c>
      <c r="AD34" s="7" t="s">
        <v>17</v>
      </c>
      <c r="AE34" s="30" t="s">
        <v>120</v>
      </c>
      <c r="AF34" s="30"/>
      <c r="AG34" s="61">
        <v>0</v>
      </c>
      <c r="AH34" s="61">
        <v>1</v>
      </c>
      <c r="AI34" s="61">
        <v>1</v>
      </c>
      <c r="AJ34" s="61">
        <v>0</v>
      </c>
      <c r="AK34" s="61">
        <v>0</v>
      </c>
      <c r="AL34" s="64" t="s">
        <v>120</v>
      </c>
      <c r="AM34" s="64" t="s">
        <v>124</v>
      </c>
    </row>
    <row r="35" spans="1:39" ht="18" customHeight="1">
      <c r="A35" s="86" t="s">
        <v>129</v>
      </c>
      <c r="B35" s="87" t="s">
        <v>130</v>
      </c>
      <c r="C35" s="82" t="s">
        <v>113</v>
      </c>
      <c r="D35" s="82" t="s">
        <v>114</v>
      </c>
      <c r="E35" s="65" t="str">
        <f>HYPERLINK("https://ictv.global/taxonomy/taxondetails?taxnode_id=202301569","202301569")</f>
        <v>202301569</v>
      </c>
      <c r="F35" s="83">
        <v>1</v>
      </c>
      <c r="G35" s="3" t="s">
        <v>774</v>
      </c>
      <c r="H35" s="68" t="s">
        <v>820</v>
      </c>
      <c r="I35" s="84">
        <v>1977</v>
      </c>
      <c r="J35" s="85" t="s">
        <v>131</v>
      </c>
      <c r="K35" s="85" t="s">
        <v>757</v>
      </c>
      <c r="L35" s="76">
        <v>2.825043</v>
      </c>
      <c r="M35" s="76">
        <v>22.224989000000001</v>
      </c>
      <c r="N35" s="66" t="str">
        <f>HYPERLINK("https://www.ncbi.nlm.nih.gov/pubmed/65661", "65661")</f>
        <v>65661</v>
      </c>
      <c r="O35" s="28" t="s">
        <v>81</v>
      </c>
      <c r="P35" s="54">
        <v>28012412</v>
      </c>
      <c r="Q35" s="54">
        <v>24747773</v>
      </c>
      <c r="R35" s="54"/>
      <c r="S35" s="7">
        <v>0</v>
      </c>
      <c r="T35" s="77"/>
      <c r="U35" s="53"/>
      <c r="V35" s="53"/>
      <c r="W35" s="7">
        <v>0</v>
      </c>
      <c r="X35" s="7">
        <v>0</v>
      </c>
      <c r="Y35" s="7">
        <v>1</v>
      </c>
      <c r="Z35" s="7">
        <v>1</v>
      </c>
      <c r="AA35" s="7">
        <v>1</v>
      </c>
      <c r="AB35" s="7">
        <v>1</v>
      </c>
      <c r="AC35" s="7">
        <v>1</v>
      </c>
      <c r="AD35" s="7">
        <v>1</v>
      </c>
      <c r="AE35" s="30" t="str">
        <f>HYPERLINK("https://pubmed.ncbi.nlm.nih.gov/31351092/", "31351092")</f>
        <v>31351092</v>
      </c>
      <c r="AF35" s="30" t="str">
        <f>HYPERLINK("https://pubmed.ncbi.nlm.nih.gov/38297087/", "38297087")</f>
        <v>38297087</v>
      </c>
      <c r="AG35" s="61">
        <v>0</v>
      </c>
      <c r="AH35" s="61">
        <v>1</v>
      </c>
      <c r="AI35" s="61">
        <v>1</v>
      </c>
      <c r="AJ35" s="61">
        <v>0</v>
      </c>
      <c r="AK35" s="61">
        <v>0</v>
      </c>
      <c r="AL35" s="64" t="s">
        <v>120</v>
      </c>
      <c r="AM35" s="64" t="s">
        <v>124</v>
      </c>
    </row>
    <row r="36" spans="1:39" ht="18" customHeight="1">
      <c r="A36" s="86" t="s">
        <v>132</v>
      </c>
      <c r="B36" s="87" t="s">
        <v>133</v>
      </c>
      <c r="C36" s="82" t="s">
        <v>134</v>
      </c>
      <c r="D36" s="82" t="s">
        <v>114</v>
      </c>
      <c r="E36" s="65" t="str">
        <f>HYPERLINK("https://ictv.global/taxonomy/taxondetails?taxnode_id=202301571","202301571")</f>
        <v>202301571</v>
      </c>
      <c r="F36" s="83">
        <v>1</v>
      </c>
      <c r="G36" s="3" t="s">
        <v>774</v>
      </c>
      <c r="H36" s="68" t="s">
        <v>821</v>
      </c>
      <c r="I36" s="84">
        <v>1968</v>
      </c>
      <c r="J36" s="85" t="s">
        <v>74</v>
      </c>
      <c r="K36" s="85" t="s">
        <v>753</v>
      </c>
      <c r="L36" s="76">
        <v>50.802173000000003</v>
      </c>
      <c r="M36" s="76">
        <v>8.7667929999999998</v>
      </c>
      <c r="N36" s="66" t="str">
        <f>HYPERLINK("https://www.ncbi.nlm.nih.gov/pubmed/4974179", "4974179")</f>
        <v>4974179</v>
      </c>
      <c r="O36" s="28">
        <v>3</v>
      </c>
      <c r="P36" s="54">
        <v>23202446</v>
      </c>
      <c r="Q36" s="54">
        <v>17712412</v>
      </c>
      <c r="R36" s="54"/>
      <c r="S36" s="7">
        <v>0</v>
      </c>
      <c r="T36" s="77"/>
      <c r="U36" s="53"/>
      <c r="V36" s="53"/>
      <c r="W36" s="7">
        <v>0</v>
      </c>
      <c r="X36" s="7">
        <v>1</v>
      </c>
      <c r="Y36" s="7">
        <v>1</v>
      </c>
      <c r="Z36" s="7">
        <v>0</v>
      </c>
      <c r="AA36" s="7">
        <v>1</v>
      </c>
      <c r="AB36" s="7">
        <v>0</v>
      </c>
      <c r="AC36" s="7">
        <v>0</v>
      </c>
      <c r="AD36" s="7">
        <v>1</v>
      </c>
      <c r="AE36" s="30" t="str">
        <f>HYPERLINK("https://pubmed.ncbi.nlm.nih.gov/24816494/", "24816494")</f>
        <v>24816494</v>
      </c>
      <c r="AF36" s="30" t="str">
        <f>HYPERLINK("https://pubmed.ncbi.nlm.nih.gov/30085179/", "30085179")</f>
        <v>30085179</v>
      </c>
      <c r="AG36" s="61">
        <v>0</v>
      </c>
      <c r="AH36" s="61">
        <v>1</v>
      </c>
      <c r="AI36" s="61">
        <v>1</v>
      </c>
      <c r="AJ36" s="61">
        <v>0</v>
      </c>
      <c r="AK36" s="61">
        <v>0</v>
      </c>
      <c r="AL36" s="64" t="s">
        <v>120</v>
      </c>
      <c r="AM36" s="64" t="s">
        <v>135</v>
      </c>
    </row>
    <row r="37" spans="1:39" ht="18" customHeight="1">
      <c r="A37" s="86" t="s">
        <v>667</v>
      </c>
      <c r="B37" s="87" t="s">
        <v>136</v>
      </c>
      <c r="C37" s="82" t="s">
        <v>137</v>
      </c>
      <c r="D37" s="82" t="s">
        <v>138</v>
      </c>
      <c r="E37" s="65" t="str">
        <f>HYPERLINK("https://ictv.global/taxonomy/taxondetails?taxnode_id=202303127","202303127")</f>
        <v>202303127</v>
      </c>
      <c r="F37" s="83">
        <v>1</v>
      </c>
      <c r="G37" s="3" t="s">
        <v>776</v>
      </c>
      <c r="H37" s="68" t="s">
        <v>822</v>
      </c>
      <c r="I37" s="84">
        <v>1989</v>
      </c>
      <c r="J37" s="85" t="s">
        <v>29</v>
      </c>
      <c r="K37" s="85" t="s">
        <v>755</v>
      </c>
      <c r="L37" s="76">
        <v>37.831316000000001</v>
      </c>
      <c r="M37" s="76">
        <v>-122.285247</v>
      </c>
      <c r="N37" s="66" t="str">
        <f>HYPERLINK("https://www.ncbi.nlm.nih.gov/pubmed/2523562", "2523562")</f>
        <v>2523562</v>
      </c>
      <c r="O37" s="28" t="s">
        <v>60</v>
      </c>
      <c r="P37" s="54">
        <v>28252637</v>
      </c>
      <c r="Q37" s="54"/>
      <c r="R37" s="54"/>
      <c r="S37" s="7">
        <v>0</v>
      </c>
      <c r="T37" s="77"/>
      <c r="U37" s="53"/>
      <c r="V37" s="53"/>
      <c r="W37" s="7">
        <v>0</v>
      </c>
      <c r="X37" s="7">
        <v>0</v>
      </c>
      <c r="Y37" s="7">
        <v>1</v>
      </c>
      <c r="Z37" s="7">
        <v>1</v>
      </c>
      <c r="AA37" s="7">
        <v>0</v>
      </c>
      <c r="AB37" s="7">
        <v>1</v>
      </c>
      <c r="AC37" s="7">
        <v>1</v>
      </c>
      <c r="AD37" s="7">
        <v>1</v>
      </c>
      <c r="AE37" s="30" t="str">
        <f>HYPERLINK("https://pubmed.ncbi.nlm.nih.gov/38615235/", "38615235")</f>
        <v>38615235</v>
      </c>
      <c r="AF37" s="30" t="str">
        <f>HYPERLINK("https://pubmed.ncbi.nlm.nih.gov/38638097/","38638097" )</f>
        <v>38638097</v>
      </c>
      <c r="AG37" s="61">
        <v>1</v>
      </c>
      <c r="AH37" s="61">
        <v>0</v>
      </c>
      <c r="AI37" s="61">
        <v>0</v>
      </c>
      <c r="AJ37" s="61">
        <v>0</v>
      </c>
      <c r="AK37" s="61">
        <v>0</v>
      </c>
      <c r="AL37" s="64">
        <v>19065353</v>
      </c>
      <c r="AM37" s="64"/>
    </row>
    <row r="38" spans="1:39" ht="18" customHeight="1">
      <c r="A38" s="86" t="s">
        <v>139</v>
      </c>
      <c r="B38" s="87" t="s">
        <v>140</v>
      </c>
      <c r="C38" s="82" t="s">
        <v>141</v>
      </c>
      <c r="D38" s="82" t="s">
        <v>138</v>
      </c>
      <c r="E38" s="65" t="str">
        <f>HYPERLINK("https://ictv.global/taxonomy/taxondetails?taxnode_id=202303072","202303072")</f>
        <v>202303072</v>
      </c>
      <c r="F38" s="83">
        <v>1</v>
      </c>
      <c r="G38" s="3" t="s">
        <v>776</v>
      </c>
      <c r="H38" s="68" t="s">
        <v>823</v>
      </c>
      <c r="I38" s="84">
        <v>1971</v>
      </c>
      <c r="J38" s="85" t="s">
        <v>143</v>
      </c>
      <c r="K38" s="85" t="s">
        <v>756</v>
      </c>
      <c r="L38" s="76">
        <v>9.0423430000000007</v>
      </c>
      <c r="M38" s="76">
        <v>-79.948066999999995</v>
      </c>
      <c r="N38" s="66" t="str">
        <f>HYPERLINK("https://www.ncbi.nlm.nih.gov/pubmed/5107116", "5107116")</f>
        <v>5107116</v>
      </c>
      <c r="O38" s="28">
        <v>2</v>
      </c>
      <c r="P38" s="54">
        <v>5107116</v>
      </c>
      <c r="Q38" s="54"/>
      <c r="R38" s="54"/>
      <c r="S38" s="7">
        <v>1</v>
      </c>
      <c r="T38" s="77" t="s">
        <v>142</v>
      </c>
      <c r="U38" s="30">
        <v>23515021</v>
      </c>
      <c r="V38" s="30">
        <v>4342338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30">
        <v>6293325</v>
      </c>
      <c r="AF38" s="30"/>
      <c r="AG38" s="61">
        <v>0</v>
      </c>
      <c r="AH38" s="61">
        <v>0</v>
      </c>
      <c r="AI38" s="61">
        <v>1</v>
      </c>
      <c r="AJ38" s="61">
        <v>0</v>
      </c>
      <c r="AK38" s="61">
        <v>0</v>
      </c>
      <c r="AL38" s="64">
        <v>6293325</v>
      </c>
      <c r="AM38" s="64"/>
    </row>
    <row r="39" spans="1:39" ht="18" customHeight="1">
      <c r="A39" s="86" t="s">
        <v>144</v>
      </c>
      <c r="B39" s="87" t="s">
        <v>145</v>
      </c>
      <c r="C39" s="82" t="s">
        <v>141</v>
      </c>
      <c r="D39" s="82" t="s">
        <v>138</v>
      </c>
      <c r="E39" s="65" t="str">
        <f>HYPERLINK("https://ictv.global/taxonomy/taxondetails?taxnode_id=202303073","202303073")</f>
        <v>202303073</v>
      </c>
      <c r="F39" s="83">
        <v>1</v>
      </c>
      <c r="G39" s="3" t="s">
        <v>776</v>
      </c>
      <c r="H39" s="68" t="s">
        <v>824</v>
      </c>
      <c r="I39" s="84">
        <v>2009</v>
      </c>
      <c r="J39" s="85" t="s">
        <v>146</v>
      </c>
      <c r="K39" s="85" t="s">
        <v>754</v>
      </c>
      <c r="L39" s="76">
        <v>10.850516000000001</v>
      </c>
      <c r="M39" s="76">
        <v>76.271083000000004</v>
      </c>
      <c r="N39" s="66" t="str">
        <f>HYPERLINK("https://www.ncbi.nlm.nih.gov/pubmed/19570951", "19570951")</f>
        <v>19570951</v>
      </c>
      <c r="O39" s="28">
        <v>2</v>
      </c>
      <c r="P39" s="54">
        <v>19570951</v>
      </c>
      <c r="Q39" s="54"/>
      <c r="R39" s="54"/>
      <c r="S39" s="7">
        <v>1</v>
      </c>
      <c r="T39" s="77" t="s">
        <v>142</v>
      </c>
      <c r="U39" s="30">
        <v>455918</v>
      </c>
      <c r="V39" s="30" t="str">
        <f>HYPERLINK("https://pubmed.ncbi.nlm.nih.gov/38503367/", "38503367")</f>
        <v>38503367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30">
        <v>24056604</v>
      </c>
      <c r="AF39" s="30" t="str">
        <f>HYPERLINK("https://pubmed.ncbi.nlm.nih.gov/26338714/", "26338714")</f>
        <v>26338714</v>
      </c>
      <c r="AG39" s="61">
        <v>0</v>
      </c>
      <c r="AH39" s="61">
        <v>0</v>
      </c>
      <c r="AI39" s="61">
        <v>0</v>
      </c>
      <c r="AJ39" s="61">
        <v>1</v>
      </c>
      <c r="AK39" s="61">
        <v>0</v>
      </c>
      <c r="AL39" s="64">
        <v>22486922</v>
      </c>
      <c r="AM39" s="64"/>
    </row>
    <row r="40" spans="1:39" ht="18" customHeight="1">
      <c r="A40" s="86" t="s">
        <v>147</v>
      </c>
      <c r="B40" s="87" t="s">
        <v>148</v>
      </c>
      <c r="C40" s="82" t="s">
        <v>141</v>
      </c>
      <c r="D40" s="82" t="s">
        <v>138</v>
      </c>
      <c r="E40" s="65" t="str">
        <f>HYPERLINK("https://ictv.global/taxonomy/taxondetails?taxnode_id=202303074","202303074")</f>
        <v>202303074</v>
      </c>
      <c r="F40" s="83">
        <v>1</v>
      </c>
      <c r="G40" s="3" t="s">
        <v>776</v>
      </c>
      <c r="H40" s="68"/>
      <c r="I40" s="84">
        <v>1959</v>
      </c>
      <c r="J40" s="72" t="s">
        <v>747</v>
      </c>
      <c r="K40" s="85" t="s">
        <v>757</v>
      </c>
      <c r="L40" s="76">
        <v>-26.524021999999999</v>
      </c>
      <c r="M40" s="76">
        <v>31.668451000000001</v>
      </c>
      <c r="N40" s="66" t="str">
        <f>HYPERLINK("https://www.ncbi.nlm.nih.gov/pubmed/13832180", "13832180")</f>
        <v>13832180</v>
      </c>
      <c r="O40" s="28">
        <v>2</v>
      </c>
      <c r="P40" s="54">
        <v>13832180</v>
      </c>
      <c r="Q40" s="54" t="str">
        <f>HYPERLINK("https://pubmed.ncbi.nlm.nih.gov/38082563/", "38082563")</f>
        <v>38082563</v>
      </c>
      <c r="R40" s="54"/>
      <c r="S40" s="7">
        <v>1</v>
      </c>
      <c r="T40" s="77" t="s">
        <v>142</v>
      </c>
      <c r="U40" s="30">
        <v>1263214</v>
      </c>
      <c r="V40" s="30"/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30" t="str">
        <f>HYPERLINK("https://pubmed.ncbi.nlm.nih.gov/6261449/", "6261449")</f>
        <v>6261449</v>
      </c>
      <c r="AF40" s="30"/>
      <c r="AG40" s="61">
        <v>0</v>
      </c>
      <c r="AH40" s="61">
        <v>0</v>
      </c>
      <c r="AI40" s="61">
        <v>1</v>
      </c>
      <c r="AJ40" s="61">
        <v>0</v>
      </c>
      <c r="AK40" s="61">
        <v>0</v>
      </c>
      <c r="AL40" s="64">
        <v>6300226</v>
      </c>
      <c r="AM40" s="64"/>
    </row>
    <row r="41" spans="1:39" ht="18" customHeight="1">
      <c r="A41" s="80" t="s">
        <v>149</v>
      </c>
      <c r="B41" s="81" t="s">
        <v>150</v>
      </c>
      <c r="C41" s="82" t="s">
        <v>141</v>
      </c>
      <c r="D41" s="82" t="s">
        <v>138</v>
      </c>
      <c r="E41" s="65" t="str">
        <f>HYPERLINK("https://ictv.global/taxonomy/taxondetails?taxnode_id=202303105","202303105")</f>
        <v>202303105</v>
      </c>
      <c r="F41" s="83">
        <v>1</v>
      </c>
      <c r="G41" s="3" t="s">
        <v>776</v>
      </c>
      <c r="H41" s="68" t="s">
        <v>825</v>
      </c>
      <c r="I41" s="84">
        <v>1962</v>
      </c>
      <c r="J41" s="85" t="s">
        <v>29</v>
      </c>
      <c r="K41" s="85" t="s">
        <v>755</v>
      </c>
      <c r="L41" s="74">
        <v>32.776663999999997</v>
      </c>
      <c r="M41" s="74">
        <v>-96.796987999999999</v>
      </c>
      <c r="N41" s="66" t="str">
        <f>HYPERLINK("https://www.ncbi.nlm.nih.gov/pubmed/13918297", "13918297")</f>
        <v>13918297</v>
      </c>
      <c r="O41" s="28">
        <v>2</v>
      </c>
      <c r="P41" s="54">
        <v>626270</v>
      </c>
      <c r="Q41" s="54"/>
      <c r="R41" s="54"/>
      <c r="S41" s="7">
        <v>0</v>
      </c>
      <c r="T41" s="77"/>
      <c r="U41" s="53"/>
      <c r="V41" s="53"/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 t="s">
        <v>17</v>
      </c>
      <c r="AE41" s="30" t="s">
        <v>151</v>
      </c>
      <c r="AF41" s="30" t="str">
        <f>HYPERLINK("https://pubmed.ncbi.nlm.nih.gov/34486974/", "34486974")</f>
        <v>34486974</v>
      </c>
      <c r="AG41" s="61">
        <v>0</v>
      </c>
      <c r="AH41" s="61">
        <v>0</v>
      </c>
      <c r="AI41" s="61">
        <v>1</v>
      </c>
      <c r="AJ41" s="61">
        <v>0</v>
      </c>
      <c r="AK41" s="61">
        <v>0</v>
      </c>
      <c r="AL41" s="64">
        <v>22457530</v>
      </c>
      <c r="AM41" s="64"/>
    </row>
    <row r="42" spans="1:39" ht="18" customHeight="1">
      <c r="A42" s="86" t="s">
        <v>152</v>
      </c>
      <c r="B42" s="87" t="s">
        <v>153</v>
      </c>
      <c r="C42" s="82" t="s">
        <v>141</v>
      </c>
      <c r="D42" s="82" t="s">
        <v>138</v>
      </c>
      <c r="E42" s="65" t="str">
        <f>HYPERLINK("https://ictv.global/taxonomy/taxondetails?taxnode_id=202303077","202303077")</f>
        <v>202303077</v>
      </c>
      <c r="F42" s="83">
        <v>1</v>
      </c>
      <c r="G42" s="3" t="s">
        <v>776</v>
      </c>
      <c r="H42" s="68" t="s">
        <v>826</v>
      </c>
      <c r="I42" s="84">
        <v>2011</v>
      </c>
      <c r="J42" s="85" t="s">
        <v>19</v>
      </c>
      <c r="K42" s="85" t="s">
        <v>401</v>
      </c>
      <c r="L42" s="76">
        <v>-10.157614000000001</v>
      </c>
      <c r="M42" s="76">
        <v>-62.356515999999999</v>
      </c>
      <c r="N42" s="66" t="str">
        <f>HYPERLINK("https://www.ncbi.nlm.nih.gov/pubmed/21860907", "21860907")</f>
        <v>21860907</v>
      </c>
      <c r="O42" s="28">
        <v>2</v>
      </c>
      <c r="P42" s="54">
        <v>28954077</v>
      </c>
      <c r="Q42" s="54" t="str">
        <f>HYPERLINK("https://pubmed.ncbi.nlm.nih.gov/38543701/", "38543701")</f>
        <v>38543701</v>
      </c>
      <c r="R42" s="54"/>
      <c r="S42" s="7">
        <v>1</v>
      </c>
      <c r="T42" s="77" t="s">
        <v>154</v>
      </c>
      <c r="U42" s="30" t="str">
        <f>HYPERLINK("https://pubmed.ncbi.nlm.nih.gov/38543701/", "38543701")</f>
        <v>38543701</v>
      </c>
      <c r="V42" s="30"/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30" t="s">
        <v>155</v>
      </c>
      <c r="AF42" s="30" t="str">
        <f>HYPERLINK("https://pubmed.ncbi.nlm.nih.gov/38543701/", "38543701" )</f>
        <v>38543701</v>
      </c>
      <c r="AG42" s="62">
        <v>0</v>
      </c>
      <c r="AH42" s="62">
        <v>1</v>
      </c>
      <c r="AI42" s="61">
        <v>1</v>
      </c>
      <c r="AJ42" s="61">
        <v>1</v>
      </c>
      <c r="AK42" s="61">
        <v>0</v>
      </c>
      <c r="AL42" s="64" t="str">
        <f>HYPERLINK("https://pubmed.ncbi.nlm.nih.gov/38543701/", "38543701")</f>
        <v>38543701</v>
      </c>
      <c r="AM42" s="64">
        <v>11113383</v>
      </c>
    </row>
    <row r="43" spans="1:39" ht="18" customHeight="1">
      <c r="A43" s="86" t="s">
        <v>668</v>
      </c>
      <c r="B43" s="87" t="s">
        <v>156</v>
      </c>
      <c r="C43" s="82" t="s">
        <v>141</v>
      </c>
      <c r="D43" s="82" t="s">
        <v>138</v>
      </c>
      <c r="E43" s="65" t="str">
        <f>HYPERLINK("https://ictv.global/taxonomy/taxondetails?taxnode_id=202303081","202303081")</f>
        <v>202303081</v>
      </c>
      <c r="F43" s="83">
        <v>1</v>
      </c>
      <c r="G43" s="3" t="s">
        <v>776</v>
      </c>
      <c r="H43" s="68" t="s">
        <v>827</v>
      </c>
      <c r="I43" s="84">
        <v>1907</v>
      </c>
      <c r="J43" s="85" t="s">
        <v>121</v>
      </c>
      <c r="K43" s="85" t="s">
        <v>754</v>
      </c>
      <c r="L43" s="76">
        <v>14.556924</v>
      </c>
      <c r="M43" s="76">
        <v>121.071713</v>
      </c>
      <c r="N43" s="66" t="str">
        <f>HYPERLINK("https://academic.oup.com/jid/article/4/3/440/2193098", "Direct link")</f>
        <v>Direct link</v>
      </c>
      <c r="O43" s="58" t="s">
        <v>81</v>
      </c>
      <c r="P43" s="54">
        <v>29967414</v>
      </c>
      <c r="Q43" s="54">
        <v>23851439</v>
      </c>
      <c r="R43" s="54"/>
      <c r="S43" s="7">
        <v>1</v>
      </c>
      <c r="T43" s="77" t="s">
        <v>142</v>
      </c>
      <c r="U43" s="30" t="str">
        <f>HYPERLINK("https://pubmed.ncbi.nlm.nih.gov/18429680/", "18429680")</f>
        <v>18429680</v>
      </c>
      <c r="V43" s="30"/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1</v>
      </c>
      <c r="AD43" s="7">
        <v>0</v>
      </c>
      <c r="AE43" s="30" t="s">
        <v>157</v>
      </c>
      <c r="AF43" s="30" t="str">
        <f>HYPERLINK("https://pubmed.ncbi.nlm.nih.gov/25394748/", "25394748")</f>
        <v>25394748</v>
      </c>
      <c r="AG43" s="61">
        <v>0</v>
      </c>
      <c r="AH43" s="61">
        <v>1</v>
      </c>
      <c r="AI43" s="61">
        <v>1</v>
      </c>
      <c r="AJ43" s="61">
        <v>0</v>
      </c>
      <c r="AK43" s="61">
        <v>0</v>
      </c>
      <c r="AL43" s="64" t="str">
        <f>HYPERLINK("https://pubmed.ncbi.nlm.nih.gov/38230520/", "38230520")</f>
        <v>38230520</v>
      </c>
      <c r="AM43" s="64">
        <v>10072155</v>
      </c>
    </row>
    <row r="44" spans="1:39" ht="18" customHeight="1">
      <c r="A44" s="86" t="s">
        <v>158</v>
      </c>
      <c r="B44" s="87" t="s">
        <v>159</v>
      </c>
      <c r="C44" s="82" t="s">
        <v>141</v>
      </c>
      <c r="D44" s="82" t="s">
        <v>138</v>
      </c>
      <c r="E44" s="65" t="str">
        <f>HYPERLINK("https://ictv.global/taxonomy/taxondetails?taxnode_id=202303082","202303082")</f>
        <v>202303082</v>
      </c>
      <c r="F44" s="83">
        <v>1</v>
      </c>
      <c r="G44" s="3" t="s">
        <v>776</v>
      </c>
      <c r="H44" s="68"/>
      <c r="I44" s="84">
        <v>1985</v>
      </c>
      <c r="J44" s="85" t="s">
        <v>161</v>
      </c>
      <c r="K44" s="85" t="s">
        <v>752</v>
      </c>
      <c r="L44" s="76">
        <v>-31.253218</v>
      </c>
      <c r="M44" s="76">
        <v>146.921099</v>
      </c>
      <c r="N44" s="66" t="str">
        <f>HYPERLINK("https://www.ncbi.nlm.nih.gov/pubmed/3007952", "3007952")</f>
        <v>3007952</v>
      </c>
      <c r="O44" s="28">
        <v>2</v>
      </c>
      <c r="P44" s="54" t="str">
        <f>HYPERLINK("https://www.ncbi.nlm.nih.gov/pubmed/8249078", "82490782")</f>
        <v>82490782</v>
      </c>
      <c r="Q44" s="54"/>
      <c r="R44" s="54"/>
      <c r="S44" s="7">
        <v>1</v>
      </c>
      <c r="T44" s="77" t="s">
        <v>154</v>
      </c>
      <c r="U44" s="30" t="str">
        <f>HYPERLINK("https://pubmed.ncbi.nlm.nih.gov/19486319/", "19486319")</f>
        <v>19486319</v>
      </c>
      <c r="V44" s="30"/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30" t="s">
        <v>160</v>
      </c>
      <c r="AF44" s="30"/>
      <c r="AG44" s="61">
        <v>0</v>
      </c>
      <c r="AH44" s="61">
        <v>0</v>
      </c>
      <c r="AI44" s="61">
        <v>1</v>
      </c>
      <c r="AJ44" s="61">
        <v>0</v>
      </c>
      <c r="AK44" s="61">
        <v>0</v>
      </c>
      <c r="AL44" s="64">
        <v>19486319</v>
      </c>
      <c r="AM44" s="64"/>
    </row>
    <row r="45" spans="1:39" ht="18" customHeight="1">
      <c r="A45" s="86" t="s">
        <v>669</v>
      </c>
      <c r="B45" s="81" t="s">
        <v>162</v>
      </c>
      <c r="C45" s="82" t="s">
        <v>141</v>
      </c>
      <c r="D45" s="82" t="s">
        <v>138</v>
      </c>
      <c r="E45" s="65" t="str">
        <f>HYPERLINK("https://ictv.global/taxonomy/taxondetails?taxnode_id=202303114","202303114")</f>
        <v>202303114</v>
      </c>
      <c r="F45" s="83">
        <v>1</v>
      </c>
      <c r="G45" s="3" t="s">
        <v>776</v>
      </c>
      <c r="H45" s="68" t="s">
        <v>828</v>
      </c>
      <c r="I45" s="84">
        <v>1938</v>
      </c>
      <c r="J45" s="85" t="s">
        <v>748</v>
      </c>
      <c r="K45" s="85" t="s">
        <v>754</v>
      </c>
      <c r="L45" s="76">
        <v>48.515783999999996</v>
      </c>
      <c r="M45" s="76">
        <v>135.10117099999999</v>
      </c>
      <c r="N45" s="66" t="str">
        <f>HYPERLINK("http://eurekamag.com/research/026/110/026110650.php", "Direct link")</f>
        <v>Direct link</v>
      </c>
      <c r="O45" s="28">
        <v>3</v>
      </c>
      <c r="P45" s="54">
        <v>28453842</v>
      </c>
      <c r="Q45" s="54">
        <v>23377671</v>
      </c>
      <c r="R45" s="54" t="str">
        <f>HYPERLINK("https://pubmed.ncbi.nlm.nih.gov/37766192/", "37766192")</f>
        <v>37766192</v>
      </c>
      <c r="S45" s="7">
        <v>1</v>
      </c>
      <c r="T45" s="77" t="s">
        <v>163</v>
      </c>
      <c r="U45" s="30" t="str">
        <f>HYPERLINK("https://pubmed.ncbi.nlm.nih.gov/19420159/", "19420159")</f>
        <v>19420159</v>
      </c>
      <c r="V45" s="30" t="str">
        <f>HYPERLINK("https://pubmed.ncbi.nlm.nih.gov/38675977/", "38675977")</f>
        <v>38675977</v>
      </c>
      <c r="W45" s="7">
        <v>0</v>
      </c>
      <c r="X45" s="7">
        <v>1</v>
      </c>
      <c r="Y45" s="7">
        <v>0</v>
      </c>
      <c r="Z45" s="7">
        <v>1</v>
      </c>
      <c r="AA45" s="7">
        <v>0</v>
      </c>
      <c r="AB45" s="7">
        <v>0</v>
      </c>
      <c r="AC45" s="7">
        <v>0</v>
      </c>
      <c r="AD45" s="7">
        <v>0</v>
      </c>
      <c r="AE45" s="30" t="str">
        <f>HYPERLINK("https://pubmed.ncbi.nlm.nih.gov/38318179/", "38318179")</f>
        <v>38318179</v>
      </c>
      <c r="AF45" s="30" t="str">
        <f>HYPERLINK("https://pubmed.ncbi.nlm.nih.gov/23377671/", "23377671")</f>
        <v>23377671</v>
      </c>
      <c r="AG45" s="61">
        <v>0</v>
      </c>
      <c r="AH45" s="61">
        <v>1</v>
      </c>
      <c r="AI45" s="61">
        <v>1</v>
      </c>
      <c r="AJ45" s="61">
        <v>1</v>
      </c>
      <c r="AK45" s="61">
        <v>0</v>
      </c>
      <c r="AL45" s="64">
        <v>18240970</v>
      </c>
      <c r="AM45" s="64">
        <v>22924442</v>
      </c>
    </row>
    <row r="46" spans="1:39" ht="18" customHeight="1">
      <c r="A46" s="86" t="s">
        <v>670</v>
      </c>
      <c r="B46" s="81" t="s">
        <v>164</v>
      </c>
      <c r="C46" s="82" t="s">
        <v>141</v>
      </c>
      <c r="D46" s="82" t="s">
        <v>138</v>
      </c>
      <c r="E46" s="65" t="str">
        <f>HYPERLINK("https://ictv.global/taxonomy/taxondetails?taxnode_id=202303121","202303121")</f>
        <v>202303121</v>
      </c>
      <c r="F46" s="83">
        <v>1</v>
      </c>
      <c r="G46" s="3" t="s">
        <v>776</v>
      </c>
      <c r="H46" s="68" t="s">
        <v>829</v>
      </c>
      <c r="I46" s="84">
        <v>1901</v>
      </c>
      <c r="J46" s="85" t="s">
        <v>166</v>
      </c>
      <c r="K46" s="85" t="s">
        <v>756</v>
      </c>
      <c r="L46" s="76">
        <v>22.788478999999999</v>
      </c>
      <c r="M46" s="76">
        <v>-80.251647000000006</v>
      </c>
      <c r="N46" s="66" t="str">
        <f>HYPERLINK("https://pubmed.ncbi.nlm.nih.gov/11569390/", "11569390")</f>
        <v>11569390</v>
      </c>
      <c r="O46" s="28" t="s">
        <v>81</v>
      </c>
      <c r="P46" s="54" t="str">
        <f>HYPERLINK("https://www.ncbi.nlm.nih.gov/pubmed/11579875", "11579875")</f>
        <v>11579875</v>
      </c>
      <c r="Q46" s="54" t="str">
        <f>HYPERLINK("https://www.ncbi.nlm.nih.gov/pubmed/22302873", "22302873")</f>
        <v>22302873</v>
      </c>
      <c r="R46" s="54"/>
      <c r="S46" s="7">
        <v>1</v>
      </c>
      <c r="T46" s="77" t="s">
        <v>154</v>
      </c>
      <c r="U46" s="30">
        <v>9463659</v>
      </c>
      <c r="V46" s="53"/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30">
        <v>25672346</v>
      </c>
      <c r="AF46" s="30" t="s">
        <v>165</v>
      </c>
      <c r="AG46" s="61">
        <v>0</v>
      </c>
      <c r="AH46" s="61">
        <v>1</v>
      </c>
      <c r="AI46" s="61">
        <v>1</v>
      </c>
      <c r="AJ46" s="61">
        <v>0</v>
      </c>
      <c r="AK46" s="61">
        <v>0</v>
      </c>
      <c r="AL46" s="64">
        <v>15138077</v>
      </c>
      <c r="AM46" s="64">
        <v>11113383</v>
      </c>
    </row>
    <row r="47" spans="1:39" ht="18" customHeight="1">
      <c r="A47" s="86" t="s">
        <v>167</v>
      </c>
      <c r="B47" s="87" t="s">
        <v>168</v>
      </c>
      <c r="C47" s="82" t="s">
        <v>141</v>
      </c>
      <c r="D47" s="82" t="s">
        <v>138</v>
      </c>
      <c r="E47" s="65" t="str">
        <f>HYPERLINK("https://ictv.global/taxonomy/taxondetails?taxnode_id=202303084","202303084")</f>
        <v>202303084</v>
      </c>
      <c r="F47" s="83">
        <v>1</v>
      </c>
      <c r="G47" s="3" t="s">
        <v>776</v>
      </c>
      <c r="H47" s="68"/>
      <c r="I47" s="84">
        <v>1991</v>
      </c>
      <c r="J47" s="85" t="s">
        <v>161</v>
      </c>
      <c r="K47" s="85" t="s">
        <v>752</v>
      </c>
      <c r="L47" s="76">
        <v>-23.442298000000001</v>
      </c>
      <c r="M47" s="76">
        <v>151.91480000000001</v>
      </c>
      <c r="N47" s="66" t="str">
        <f>HYPERLINK("https://www.ncbi.nlm.nih.gov/pubmed/1657626", "1657626")</f>
        <v>1657626</v>
      </c>
      <c r="O47" s="28">
        <v>2</v>
      </c>
      <c r="P47" s="54">
        <v>1657626</v>
      </c>
      <c r="Q47" s="54"/>
      <c r="R47" s="54"/>
      <c r="S47" s="7">
        <v>1</v>
      </c>
      <c r="T47" s="77" t="s">
        <v>163</v>
      </c>
      <c r="U47" s="30" t="str">
        <f>HYPERLINK("https://pubmed.ncbi.nlm.nih.gov/19486319/","19486319")</f>
        <v>19486319</v>
      </c>
      <c r="V47" s="30"/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30" t="s">
        <v>160</v>
      </c>
      <c r="AF47" s="30"/>
      <c r="AG47" s="61">
        <v>0</v>
      </c>
      <c r="AH47" s="61">
        <v>0</v>
      </c>
      <c r="AI47" s="61">
        <v>0</v>
      </c>
      <c r="AJ47" s="61">
        <v>1</v>
      </c>
      <c r="AK47" s="61">
        <v>0</v>
      </c>
      <c r="AL47" s="64">
        <v>19486319</v>
      </c>
      <c r="AM47" s="64"/>
    </row>
    <row r="48" spans="1:39" ht="18" customHeight="1">
      <c r="A48" s="86" t="s">
        <v>169</v>
      </c>
      <c r="B48" s="87" t="s">
        <v>170</v>
      </c>
      <c r="C48" s="82" t="s">
        <v>141</v>
      </c>
      <c r="D48" s="82" t="s">
        <v>138</v>
      </c>
      <c r="E48" s="65" t="str">
        <f>HYPERLINK("https://ictv.global/taxonomy/taxondetails?taxnode_id=202303085","202303085")</f>
        <v>202303085</v>
      </c>
      <c r="F48" s="83">
        <v>1</v>
      </c>
      <c r="G48" s="3" t="s">
        <v>776</v>
      </c>
      <c r="H48" s="68" t="s">
        <v>830</v>
      </c>
      <c r="I48" s="84">
        <v>1947</v>
      </c>
      <c r="J48" s="85" t="s">
        <v>19</v>
      </c>
      <c r="K48" s="85" t="s">
        <v>401</v>
      </c>
      <c r="L48" s="76">
        <v>-14.793505</v>
      </c>
      <c r="M48" s="76">
        <v>-39.046379999999999</v>
      </c>
      <c r="N48" s="66" t="str">
        <f>HYPERLINK("https://www.ncbi.nlm.nih.gov/pubmed/20285157", "20285157")</f>
        <v>20285157</v>
      </c>
      <c r="O48" s="28">
        <v>2</v>
      </c>
      <c r="P48" s="54">
        <v>22377378</v>
      </c>
      <c r="Q48" s="54"/>
      <c r="R48" s="54"/>
      <c r="S48" s="7">
        <v>1</v>
      </c>
      <c r="T48" s="77" t="s">
        <v>154</v>
      </c>
      <c r="U48" s="30" t="str">
        <f>HYPERLINK("https://pubmed.ncbi.nlm.nih.gov/10930658/", "10930658")</f>
        <v>10930658</v>
      </c>
      <c r="V48" s="30" t="str">
        <f>HYPERLINK("https://pubmed.ncbi.nlm.nih.gov/38672699/","38672699")</f>
        <v>38672699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30">
        <v>23875051</v>
      </c>
      <c r="AF48" s="30"/>
      <c r="AG48" s="61">
        <v>0</v>
      </c>
      <c r="AH48" s="61">
        <v>0</v>
      </c>
      <c r="AI48" s="61">
        <v>1</v>
      </c>
      <c r="AJ48" s="61">
        <v>1</v>
      </c>
      <c r="AK48" s="61">
        <v>0</v>
      </c>
      <c r="AL48" s="64">
        <v>11359196</v>
      </c>
      <c r="AM48" s="64">
        <v>11113383</v>
      </c>
    </row>
    <row r="49" spans="1:39" ht="18" customHeight="1">
      <c r="A49" s="86" t="s">
        <v>171</v>
      </c>
      <c r="B49" s="87" t="s">
        <v>172</v>
      </c>
      <c r="C49" s="82" t="s">
        <v>141</v>
      </c>
      <c r="D49" s="82" t="s">
        <v>138</v>
      </c>
      <c r="E49" s="65" t="str">
        <f>HYPERLINK("https://ictv.global/taxonomy/taxondetails?taxnode_id=202303087","202303087")</f>
        <v>202303087</v>
      </c>
      <c r="F49" s="83">
        <v>1</v>
      </c>
      <c r="G49" s="3" t="s">
        <v>776</v>
      </c>
      <c r="H49" s="68" t="s">
        <v>831</v>
      </c>
      <c r="I49" s="84">
        <v>1933</v>
      </c>
      <c r="J49" s="85" t="s">
        <v>87</v>
      </c>
      <c r="K49" s="85" t="s">
        <v>754</v>
      </c>
      <c r="L49" s="76">
        <v>34.655146000000002</v>
      </c>
      <c r="M49" s="76">
        <v>133.91950199999999</v>
      </c>
      <c r="N49" s="66" t="str">
        <f>HYPERLINK("http://onlinelibrary.wiley.com/doi/10.1111/j.1440-1819.1933.tb02410.x/abstract", "Direct link")</f>
        <v>Direct link</v>
      </c>
      <c r="O49" s="28">
        <v>3</v>
      </c>
      <c r="P49" s="54" t="str">
        <f>HYPERLINK("https://pubmed.ncbi.nlm.nih.gov/19523297/", "19523297")</f>
        <v>19523297</v>
      </c>
      <c r="Q49" s="54">
        <v>29043965</v>
      </c>
      <c r="R49" s="54" t="str">
        <f>HYPERLINK("https://iris.who.int/bitstream/handle/10665/164133/dbv29p18.pdf", "Direct link")</f>
        <v>Direct link</v>
      </c>
      <c r="S49" s="7">
        <v>1</v>
      </c>
      <c r="T49" s="77" t="s">
        <v>154</v>
      </c>
      <c r="U49" s="30">
        <v>1337744</v>
      </c>
      <c r="V49" s="30" t="str">
        <f>HYPERLINK("https://pubmed.ncbi.nlm.nih.gov/38741172/", "38741172")</f>
        <v>38741172</v>
      </c>
      <c r="W49" s="7">
        <v>0</v>
      </c>
      <c r="X49" s="7">
        <v>0</v>
      </c>
      <c r="Y49" s="7">
        <v>0</v>
      </c>
      <c r="Z49" s="7">
        <v>1</v>
      </c>
      <c r="AA49" s="7">
        <v>0</v>
      </c>
      <c r="AB49" s="7">
        <v>0</v>
      </c>
      <c r="AC49" s="7">
        <v>1</v>
      </c>
      <c r="AD49" s="7">
        <v>0</v>
      </c>
      <c r="AE49" s="30" t="str">
        <f>HYPERLINK("https://iris.who.int/bitstream/handle/10665/164133/dbv29p18.pdf", "Direct link")</f>
        <v>Direct link</v>
      </c>
      <c r="AF49" s="30" t="str">
        <f>HYPERLINK("https://pubmed.ncbi.nlm.nih.gov/38711470/", "38711470")</f>
        <v>38711470</v>
      </c>
      <c r="AG49" s="61">
        <v>0</v>
      </c>
      <c r="AH49" s="61">
        <v>1</v>
      </c>
      <c r="AI49" s="61">
        <v>1</v>
      </c>
      <c r="AJ49" s="61">
        <v>1</v>
      </c>
      <c r="AK49" s="61">
        <v>1</v>
      </c>
      <c r="AL49" s="64">
        <v>22883515</v>
      </c>
      <c r="AM49" s="64" t="str">
        <f>HYPERLINK("https://pubmed.ncbi.nlm.nih.gov/19523297/", "19523297")</f>
        <v>19523297</v>
      </c>
    </row>
    <row r="50" spans="1:39" ht="18" customHeight="1">
      <c r="A50" s="86" t="s">
        <v>173</v>
      </c>
      <c r="B50" s="87" t="s">
        <v>174</v>
      </c>
      <c r="C50" s="82" t="s">
        <v>141</v>
      </c>
      <c r="D50" s="82" t="s">
        <v>138</v>
      </c>
      <c r="E50" s="65" t="str">
        <f>HYPERLINK("https://ictv.global/taxonomy/taxondetails?taxnode_id=202303092", "202303092")</f>
        <v>202303092</v>
      </c>
      <c r="F50" s="83">
        <v>1</v>
      </c>
      <c r="G50" s="3" t="s">
        <v>776</v>
      </c>
      <c r="H50" s="68" t="s">
        <v>832</v>
      </c>
      <c r="I50" s="84">
        <v>1964</v>
      </c>
      <c r="J50" s="85" t="s">
        <v>161</v>
      </c>
      <c r="K50" s="85" t="s">
        <v>752</v>
      </c>
      <c r="L50" s="76">
        <v>-16.174944</v>
      </c>
      <c r="M50" s="76">
        <v>142.84369599999999</v>
      </c>
      <c r="N50" s="66" t="str">
        <f>HYPERLINK("https://www.ncbi.nlm.nih.gov/pubmed/14150749", "14150749")</f>
        <v>14150749</v>
      </c>
      <c r="O50" s="28">
        <v>2</v>
      </c>
      <c r="P50" s="54" t="str">
        <f>HYPERLINK("https://pubmed.ncbi.nlm.nih.gov/14150749/", "14150749")</f>
        <v>14150749</v>
      </c>
      <c r="Q50" s="54" t="str">
        <f>HYPERLINK("https://pubmed.ncbi.nlm.nih.gov/4398589/", "4398589")</f>
        <v>4398589</v>
      </c>
      <c r="R50" s="54">
        <v>27794390</v>
      </c>
      <c r="S50" s="7">
        <v>1</v>
      </c>
      <c r="T50" s="77" t="s">
        <v>154</v>
      </c>
      <c r="U50" s="30" t="str">
        <f>HYPERLINK("https://pubmed.ncbi.nlm.nih.gov/10930658/", "10930658")</f>
        <v>10930658</v>
      </c>
      <c r="V50" s="30"/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30" t="s">
        <v>175</v>
      </c>
      <c r="AF50" s="30"/>
      <c r="AG50" s="61">
        <v>0</v>
      </c>
      <c r="AH50" s="61">
        <v>0</v>
      </c>
      <c r="AI50" s="61">
        <v>1</v>
      </c>
      <c r="AJ50" s="61">
        <v>0</v>
      </c>
      <c r="AK50" s="61">
        <v>1</v>
      </c>
      <c r="AL50" s="64">
        <v>10930658</v>
      </c>
      <c r="AM50" s="64" t="str">
        <f>HYPERLINK("https://pubmed.ncbi.nlm.nih.gov/35632847/", "35632847")</f>
        <v>35632847</v>
      </c>
    </row>
    <row r="51" spans="1:39" ht="18" customHeight="1">
      <c r="A51" s="86" t="s">
        <v>176</v>
      </c>
      <c r="B51" s="87" t="s">
        <v>177</v>
      </c>
      <c r="C51" s="82" t="s">
        <v>141</v>
      </c>
      <c r="D51" s="82" t="s">
        <v>138</v>
      </c>
      <c r="E51" s="65" t="str">
        <f>HYPERLINK("https://ictv.global/taxonomy/taxondetails?taxnode_id=202303094","202303094")</f>
        <v>202303094</v>
      </c>
      <c r="F51" s="83">
        <v>1</v>
      </c>
      <c r="G51" s="3" t="s">
        <v>776</v>
      </c>
      <c r="H51" s="68" t="s">
        <v>833</v>
      </c>
      <c r="I51" s="84">
        <v>1957</v>
      </c>
      <c r="J51" s="85" t="s">
        <v>146</v>
      </c>
      <c r="K51" s="85" t="s">
        <v>754</v>
      </c>
      <c r="L51" s="76">
        <v>13.929930000000001</v>
      </c>
      <c r="M51" s="76">
        <v>75.568100999999999</v>
      </c>
      <c r="N51" s="66" t="str">
        <f>HYPERLINK("https://www.ncbi.nlm.nih.gov/pubmed/13448774", "13448774")</f>
        <v>13448774</v>
      </c>
      <c r="O51" s="28">
        <v>2</v>
      </c>
      <c r="P51" s="54">
        <v>28220635</v>
      </c>
      <c r="Q51" s="54"/>
      <c r="R51" s="54"/>
      <c r="S51" s="7">
        <v>1</v>
      </c>
      <c r="T51" s="77" t="s">
        <v>163</v>
      </c>
      <c r="U51" s="30">
        <v>2819879</v>
      </c>
      <c r="V51" s="30"/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30" t="s">
        <v>178</v>
      </c>
      <c r="AF51" s="30"/>
      <c r="AG51" s="61">
        <v>0</v>
      </c>
      <c r="AH51" s="61">
        <v>1</v>
      </c>
      <c r="AI51" s="61">
        <v>1</v>
      </c>
      <c r="AJ51" s="61">
        <v>0</v>
      </c>
      <c r="AK51" s="61">
        <v>0</v>
      </c>
      <c r="AL51" s="64">
        <v>19788811</v>
      </c>
      <c r="AM51" s="64"/>
    </row>
    <row r="52" spans="1:39" ht="18" customHeight="1">
      <c r="A52" s="86" t="s">
        <v>179</v>
      </c>
      <c r="B52" s="87" t="s">
        <v>180</v>
      </c>
      <c r="C52" s="82" t="s">
        <v>141</v>
      </c>
      <c r="D52" s="82" t="s">
        <v>138</v>
      </c>
      <c r="E52" s="65" t="str">
        <f>HYPERLINK("https://ictv.global/taxonomy/taxondetails?taxnode_id=202303095","202303095")</f>
        <v>202303095</v>
      </c>
      <c r="F52" s="83">
        <v>1</v>
      </c>
      <c r="G52" s="3" t="s">
        <v>776</v>
      </c>
      <c r="H52" s="68" t="s">
        <v>834</v>
      </c>
      <c r="I52" s="84">
        <v>1956</v>
      </c>
      <c r="J52" s="85" t="s">
        <v>181</v>
      </c>
      <c r="K52" s="85" t="s">
        <v>754</v>
      </c>
      <c r="L52" s="76">
        <v>3.1390030000000002</v>
      </c>
      <c r="M52" s="76">
        <v>101.68685499999999</v>
      </c>
      <c r="N52" s="66" t="str">
        <f>HYPERLINK("https://www.ncbi.nlm.nih.gov/pubmed/13369466", "13369466")</f>
        <v>13369466</v>
      </c>
      <c r="O52" s="28">
        <v>2</v>
      </c>
      <c r="P52" s="54">
        <v>11463123</v>
      </c>
      <c r="Q52" s="54"/>
      <c r="R52" s="54"/>
      <c r="S52" s="7">
        <v>1</v>
      </c>
      <c r="T52" s="77" t="s">
        <v>163</v>
      </c>
      <c r="U52" s="30" t="str">
        <f>HYPERLINK("https://pubmed.ncbi.nlm.nih.gov/19486319/", "19486319")</f>
        <v>19486319</v>
      </c>
      <c r="V52" s="30" t="str">
        <f>HYPERLINK("https://pubmed.ncbi.nlm.nih.gov/38400079/", "38400079")</f>
        <v>38400079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30">
        <v>22984545</v>
      </c>
      <c r="AF52" s="30" t="str">
        <f>HYPERLINK("https://pubmed.ncbi.nlm.nih.gov/38305156/", "38305156")</f>
        <v>38305156</v>
      </c>
      <c r="AG52" s="61">
        <v>0</v>
      </c>
      <c r="AH52" s="61">
        <v>0</v>
      </c>
      <c r="AI52" s="61">
        <v>1</v>
      </c>
      <c r="AJ52" s="61">
        <v>0</v>
      </c>
      <c r="AK52" s="61">
        <v>0</v>
      </c>
      <c r="AL52" s="64">
        <v>180846</v>
      </c>
      <c r="AM52" s="64" t="str">
        <f>HYPERLINK("https://pubmed.ncbi.nlm.nih.gov/35632847/", "35632847")</f>
        <v>35632847</v>
      </c>
    </row>
    <row r="53" spans="1:39" ht="18" customHeight="1">
      <c r="A53" s="80" t="s">
        <v>182</v>
      </c>
      <c r="B53" s="81" t="s">
        <v>183</v>
      </c>
      <c r="C53" s="82" t="s">
        <v>141</v>
      </c>
      <c r="D53" s="82" t="s">
        <v>138</v>
      </c>
      <c r="E53" s="65" t="str">
        <f>HYPERLINK("https://ictv.global/taxonomy/taxondetails?taxnode_id=202303112","202303112")</f>
        <v>202303112</v>
      </c>
      <c r="F53" s="83">
        <v>1</v>
      </c>
      <c r="G53" s="3" t="s">
        <v>776</v>
      </c>
      <c r="H53" s="68" t="s">
        <v>835</v>
      </c>
      <c r="I53" s="84">
        <v>1933</v>
      </c>
      <c r="J53" s="85" t="s">
        <v>29</v>
      </c>
      <c r="K53" s="85" t="s">
        <v>755</v>
      </c>
      <c r="L53" s="76">
        <v>38.627003000000002</v>
      </c>
      <c r="M53" s="76">
        <v>-90.199404000000001</v>
      </c>
      <c r="N53" s="66" t="str">
        <f>HYPERLINK("https://www.ncbi.nlm.nih.gov/pubmed/17752093", "17752093")</f>
        <v>17752093</v>
      </c>
      <c r="O53" s="28">
        <v>2</v>
      </c>
      <c r="P53" s="54">
        <v>17283629</v>
      </c>
      <c r="Q53" s="54"/>
      <c r="R53" s="54"/>
      <c r="S53" s="7">
        <v>1</v>
      </c>
      <c r="T53" s="77" t="s">
        <v>154</v>
      </c>
      <c r="U53" s="30" t="str">
        <f>HYPERLINK("https://pubmed.ncbi.nlm.nih.gov/11113383/", "11113383")</f>
        <v>11113383</v>
      </c>
      <c r="V53" s="30"/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30">
        <v>23474474</v>
      </c>
      <c r="AF53" s="30" t="s">
        <v>165</v>
      </c>
      <c r="AG53" s="61">
        <v>0</v>
      </c>
      <c r="AH53" s="61">
        <v>1</v>
      </c>
      <c r="AI53" s="61">
        <v>1</v>
      </c>
      <c r="AJ53" s="61">
        <v>1</v>
      </c>
      <c r="AK53" s="61">
        <v>1</v>
      </c>
      <c r="AL53" s="64">
        <v>480524</v>
      </c>
      <c r="AM53" s="64">
        <v>23474474</v>
      </c>
    </row>
    <row r="54" spans="1:39" ht="18" customHeight="1">
      <c r="A54" s="80" t="s">
        <v>184</v>
      </c>
      <c r="B54" s="81" t="s">
        <v>185</v>
      </c>
      <c r="C54" s="82" t="s">
        <v>141</v>
      </c>
      <c r="D54" s="82" t="s">
        <v>138</v>
      </c>
      <c r="E54" s="65" t="str">
        <f>HYPERLINK("https://ictv.global/taxonomy/taxondetails?taxnode_id=202303096","202303096")</f>
        <v>202303096</v>
      </c>
      <c r="F54" s="83">
        <v>1</v>
      </c>
      <c r="G54" s="3" t="s">
        <v>776</v>
      </c>
      <c r="H54" s="68" t="s">
        <v>836</v>
      </c>
      <c r="I54" s="84">
        <v>1934</v>
      </c>
      <c r="J54" s="85" t="s">
        <v>29</v>
      </c>
      <c r="K54" s="85" t="s">
        <v>755</v>
      </c>
      <c r="L54" s="75">
        <v>40.712775000000001</v>
      </c>
      <c r="M54" s="75">
        <v>-74.005972999999997</v>
      </c>
      <c r="N54" s="66" t="str">
        <f>HYPERLINK("https://www.ncbi.nlm.nih.gov/pubmed/19870271", "19870271")</f>
        <v>19870271</v>
      </c>
      <c r="O54" s="28">
        <v>2</v>
      </c>
      <c r="P54" s="54">
        <v>24552787</v>
      </c>
      <c r="Q54" s="54">
        <v>18143619</v>
      </c>
      <c r="R54" s="54"/>
      <c r="S54" s="7">
        <v>1</v>
      </c>
      <c r="T54" s="77" t="s">
        <v>163</v>
      </c>
      <c r="U54" s="30">
        <v>4811648</v>
      </c>
      <c r="V54" s="30"/>
      <c r="W54" s="7">
        <v>0</v>
      </c>
      <c r="X54" s="7">
        <v>1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30">
        <v>24552787</v>
      </c>
      <c r="AF54" s="30" t="s">
        <v>186</v>
      </c>
      <c r="AG54" s="61">
        <v>0</v>
      </c>
      <c r="AH54" s="61">
        <v>0</v>
      </c>
      <c r="AI54" s="61">
        <v>1</v>
      </c>
      <c r="AJ54" s="61">
        <v>1</v>
      </c>
      <c r="AK54" s="61">
        <v>0</v>
      </c>
      <c r="AL54" s="64">
        <v>24552787</v>
      </c>
      <c r="AM54" s="64">
        <v>10726271</v>
      </c>
    </row>
    <row r="55" spans="1:39" ht="18" customHeight="1">
      <c r="A55" s="80" t="s">
        <v>187</v>
      </c>
      <c r="B55" s="81" t="s">
        <v>188</v>
      </c>
      <c r="C55" s="82" t="s">
        <v>141</v>
      </c>
      <c r="D55" s="82" t="s">
        <v>138</v>
      </c>
      <c r="E55" s="65" t="str">
        <f>HYPERLINK("https://ictv.global/taxonomy/taxondetails?taxnode_id=202303100","202303100")</f>
        <v>202303100</v>
      </c>
      <c r="F55" s="83">
        <v>1</v>
      </c>
      <c r="G55" s="3" t="s">
        <v>776</v>
      </c>
      <c r="H55" s="68" t="s">
        <v>837</v>
      </c>
      <c r="I55" s="84">
        <v>1952</v>
      </c>
      <c r="J55" s="85" t="s">
        <v>161</v>
      </c>
      <c r="K55" s="85" t="s">
        <v>752</v>
      </c>
      <c r="L55" s="74">
        <v>-36.904423999999999</v>
      </c>
      <c r="M55" s="74">
        <v>142.95996600000001</v>
      </c>
      <c r="N55" s="66" t="str">
        <f>HYPERLINK("https://www.ncbi.nlm.nih.gov/pubmed/14909902", "14909902")</f>
        <v>14909902</v>
      </c>
      <c r="O55" s="28">
        <v>2</v>
      </c>
      <c r="P55" s="54">
        <v>29044370</v>
      </c>
      <c r="Q55" s="54"/>
      <c r="R55" s="54"/>
      <c r="S55" s="7">
        <v>1</v>
      </c>
      <c r="T55" s="77" t="s">
        <v>154</v>
      </c>
      <c r="U55" s="30">
        <v>22432670</v>
      </c>
      <c r="V55" s="30"/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30" t="s">
        <v>189</v>
      </c>
      <c r="AF55" s="30"/>
      <c r="AG55" s="61">
        <v>0</v>
      </c>
      <c r="AH55" s="61">
        <v>0</v>
      </c>
      <c r="AI55" s="61">
        <v>1</v>
      </c>
      <c r="AJ55" s="61">
        <v>1</v>
      </c>
      <c r="AK55" s="61">
        <v>0</v>
      </c>
      <c r="AL55" s="64">
        <v>6299259</v>
      </c>
      <c r="AM55" s="64" t="str">
        <f>HYPERLINK("https://pubmed.ncbi.nlm.nih.gov/36366578/", "36366578")</f>
        <v>36366578</v>
      </c>
    </row>
    <row r="56" spans="1:39" ht="18" customHeight="1">
      <c r="A56" s="86" t="s">
        <v>190</v>
      </c>
      <c r="B56" s="81" t="s">
        <v>191</v>
      </c>
      <c r="C56" s="82" t="s">
        <v>141</v>
      </c>
      <c r="D56" s="82" t="s">
        <v>138</v>
      </c>
      <c r="E56" s="65" t="str">
        <f>HYPERLINK("https://ictv.global/taxonomy/taxondetails?taxnode_id=202303119","202303119")</f>
        <v>202303119</v>
      </c>
      <c r="F56" s="83">
        <v>1</v>
      </c>
      <c r="G56" s="3" t="s">
        <v>776</v>
      </c>
      <c r="H56" s="68" t="s">
        <v>838</v>
      </c>
      <c r="I56" s="84">
        <v>1940</v>
      </c>
      <c r="J56" s="85" t="s">
        <v>116</v>
      </c>
      <c r="K56" s="85" t="s">
        <v>757</v>
      </c>
      <c r="L56" s="76">
        <v>0.41634599999999999</v>
      </c>
      <c r="M56" s="76">
        <v>33.207039999999999</v>
      </c>
      <c r="N56" s="66" t="str">
        <f>HYPERLINK("http://www.ajtmh.org/content/journals/10.4269/ajtmh.1940.s1-20.471", "Direct link")</f>
        <v>Direct link</v>
      </c>
      <c r="O56" s="28">
        <v>3</v>
      </c>
      <c r="P56" s="54">
        <v>29309636</v>
      </c>
      <c r="Q56" s="54">
        <v>29535295</v>
      </c>
      <c r="R56" s="54"/>
      <c r="S56" s="7">
        <v>1</v>
      </c>
      <c r="T56" s="77" t="s">
        <v>154</v>
      </c>
      <c r="U56" s="30">
        <v>2627720</v>
      </c>
      <c r="V56" s="30"/>
      <c r="W56" s="7">
        <v>0</v>
      </c>
      <c r="X56" s="7">
        <v>0</v>
      </c>
      <c r="Y56" s="7">
        <v>0</v>
      </c>
      <c r="Z56" s="7">
        <v>1</v>
      </c>
      <c r="AA56" s="7">
        <v>0</v>
      </c>
      <c r="AB56" s="7">
        <v>0</v>
      </c>
      <c r="AC56" s="7">
        <v>1</v>
      </c>
      <c r="AD56" s="7">
        <v>1</v>
      </c>
      <c r="AE56" s="30" t="str">
        <f>HYPERLINK("https://pubmed.ncbi.nlm.nih.gov/38675940/", "38675940")</f>
        <v>38675940</v>
      </c>
      <c r="AF56" s="30" t="str">
        <f>HYPERLINK("https://pubmed.ncbi.nlm.nih.gov/38392895/", "38392895")</f>
        <v>38392895</v>
      </c>
      <c r="AG56" s="61">
        <v>0</v>
      </c>
      <c r="AH56" s="61">
        <v>1</v>
      </c>
      <c r="AI56" s="61">
        <v>1</v>
      </c>
      <c r="AJ56" s="61">
        <v>1</v>
      </c>
      <c r="AK56" s="61">
        <v>1</v>
      </c>
      <c r="AL56" s="64">
        <v>17471040</v>
      </c>
      <c r="AM56" s="64" t="str">
        <f>HYPERLINK("https://pubmed.ncbi.nlm.nih.gov/38790027/", "38790027")</f>
        <v>38790027</v>
      </c>
    </row>
    <row r="57" spans="1:39" ht="18" customHeight="1">
      <c r="A57" s="80" t="s">
        <v>192</v>
      </c>
      <c r="B57" s="81" t="s">
        <v>193</v>
      </c>
      <c r="C57" s="82" t="s">
        <v>141</v>
      </c>
      <c r="D57" s="82" t="s">
        <v>138</v>
      </c>
      <c r="E57" s="65" t="str">
        <f>HYPERLINK("https://ictv.global/taxonomy/taxondetails?taxnode_id=202303101","202303101")</f>
        <v>202303101</v>
      </c>
      <c r="F57" s="83">
        <v>1</v>
      </c>
      <c r="G57" s="3" t="s">
        <v>776</v>
      </c>
      <c r="H57" s="68" t="s">
        <v>839</v>
      </c>
      <c r="I57" s="84">
        <v>1952</v>
      </c>
      <c r="J57" s="85" t="s">
        <v>116</v>
      </c>
      <c r="K57" s="85" t="s">
        <v>757</v>
      </c>
      <c r="L57" s="76">
        <v>0.75114899999999996</v>
      </c>
      <c r="M57" s="76">
        <v>30.020295999999998</v>
      </c>
      <c r="N57" s="66" t="str">
        <f>HYPERLINK("https://www.ncbi.nlm.nih.gov/pubmed/14946416", "14946416")</f>
        <v>14946416</v>
      </c>
      <c r="O57" s="28">
        <v>2</v>
      </c>
      <c r="P57" s="54">
        <v>638547</v>
      </c>
      <c r="Q57" s="54"/>
      <c r="R57" s="54"/>
      <c r="S57" s="7">
        <v>1</v>
      </c>
      <c r="T57" s="77" t="s">
        <v>154</v>
      </c>
      <c r="U57" s="30">
        <v>5469153</v>
      </c>
      <c r="V57" s="30"/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30" t="s">
        <v>194</v>
      </c>
      <c r="AF57" s="30"/>
      <c r="AG57" s="61">
        <v>0</v>
      </c>
      <c r="AH57" s="61">
        <v>0</v>
      </c>
      <c r="AI57" s="61">
        <v>1</v>
      </c>
      <c r="AJ57" s="61">
        <v>1</v>
      </c>
      <c r="AK57" s="61">
        <v>0</v>
      </c>
      <c r="AL57" s="64">
        <v>22996737</v>
      </c>
      <c r="AM57" s="64"/>
    </row>
    <row r="58" spans="1:39" ht="18" customHeight="1">
      <c r="A58" s="86" t="s">
        <v>195</v>
      </c>
      <c r="B58" s="81" t="s">
        <v>196</v>
      </c>
      <c r="C58" s="82" t="s">
        <v>141</v>
      </c>
      <c r="D58" s="82" t="s">
        <v>138</v>
      </c>
      <c r="E58" s="65" t="str">
        <f>HYPERLINK("https://ictv.global/taxonomy/taxondetails?taxnode_id=202303102","202303102")</f>
        <v>202303102</v>
      </c>
      <c r="F58" s="83">
        <v>1</v>
      </c>
      <c r="G58" s="3" t="s">
        <v>776</v>
      </c>
      <c r="H58" s="68" t="s">
        <v>840</v>
      </c>
      <c r="I58" s="84">
        <v>1948</v>
      </c>
      <c r="J58" s="85" t="s">
        <v>748</v>
      </c>
      <c r="K58" s="85" t="s">
        <v>754</v>
      </c>
      <c r="L58" s="76">
        <v>54.988480000000003</v>
      </c>
      <c r="M58" s="76">
        <v>73.324235999999999</v>
      </c>
      <c r="N58" s="66" t="str">
        <f>HYPERLINK("https://apps.dtic.mil/sti/html/tr/AD0835152/", "Direct link")</f>
        <v>Direct link</v>
      </c>
      <c r="O58" s="28">
        <v>2</v>
      </c>
      <c r="P58" s="54">
        <v>20850178</v>
      </c>
      <c r="Q58" s="54"/>
      <c r="R58" s="54"/>
      <c r="S58" s="7">
        <v>1</v>
      </c>
      <c r="T58" s="77" t="s">
        <v>163</v>
      </c>
      <c r="U58" s="30" t="str">
        <f>HYPERLINK("https://pubmed.ncbi.nlm.nih.gov/20850178/", "20850178")</f>
        <v>20850178</v>
      </c>
      <c r="V58" s="30" t="str">
        <f>HYPERLINK("https://pubmed.ncbi.nlm.nih.gov/38593456/", "38593456")</f>
        <v>38593456</v>
      </c>
      <c r="W58" s="7">
        <v>1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1</v>
      </c>
      <c r="AE58" s="30" t="s">
        <v>197</v>
      </c>
      <c r="AF58" s="30"/>
      <c r="AG58" s="61">
        <v>0</v>
      </c>
      <c r="AH58" s="61">
        <v>0</v>
      </c>
      <c r="AI58" s="61">
        <v>1</v>
      </c>
      <c r="AJ58" s="61">
        <v>0</v>
      </c>
      <c r="AK58" s="61">
        <v>0</v>
      </c>
      <c r="AL58" s="64">
        <v>20850178</v>
      </c>
      <c r="AM58" s="64"/>
    </row>
    <row r="59" spans="1:39" ht="18" customHeight="1">
      <c r="A59" s="86" t="s">
        <v>198</v>
      </c>
      <c r="B59" s="81" t="s">
        <v>199</v>
      </c>
      <c r="C59" s="82" t="s">
        <v>141</v>
      </c>
      <c r="D59" s="82" t="s">
        <v>138</v>
      </c>
      <c r="E59" s="65" t="str">
        <f>HYPERLINK("https://ictv.global/taxonomy/taxondetails?taxnode_id=202303104","202303104")</f>
        <v>202303104</v>
      </c>
      <c r="F59" s="83">
        <v>1</v>
      </c>
      <c r="G59" s="3" t="s">
        <v>776</v>
      </c>
      <c r="H59" s="68" t="s">
        <v>841</v>
      </c>
      <c r="I59" s="84">
        <v>1959</v>
      </c>
      <c r="J59" s="85" t="s">
        <v>200</v>
      </c>
      <c r="K59" s="85" t="s">
        <v>755</v>
      </c>
      <c r="L59" s="76">
        <v>46.080723999999996</v>
      </c>
      <c r="M59" s="76">
        <v>-79.368324000000001</v>
      </c>
      <c r="N59" s="66" t="str">
        <f>HYPERLINK("https://www.ncbi.nlm.nih.gov/pubmed/13652010", "13652010")</f>
        <v>13652010</v>
      </c>
      <c r="O59" s="28">
        <v>3</v>
      </c>
      <c r="P59" s="54">
        <v>18959500</v>
      </c>
      <c r="Q59" s="54" t="str">
        <f>HYPERLINK("https://pubmed.ncbi.nlm.nih.gov/37915648/", "37915648")</f>
        <v>37915648</v>
      </c>
      <c r="R59" s="54"/>
      <c r="S59" s="7">
        <v>1</v>
      </c>
      <c r="T59" s="77" t="s">
        <v>163</v>
      </c>
      <c r="U59" s="30">
        <v>2875267</v>
      </c>
      <c r="V59" s="30" t="str">
        <f>HYPERLINK("https://pubmed.ncbi.nlm.nih.gov/37862099/", "37862099")</f>
        <v>37862099</v>
      </c>
      <c r="W59" s="7">
        <v>0</v>
      </c>
      <c r="X59" s="7">
        <v>0</v>
      </c>
      <c r="Y59" s="7">
        <v>0</v>
      </c>
      <c r="Z59" s="7">
        <v>1</v>
      </c>
      <c r="AA59" s="7">
        <v>0</v>
      </c>
      <c r="AB59" s="7">
        <v>0</v>
      </c>
      <c r="AC59" s="7">
        <v>0</v>
      </c>
      <c r="AD59" s="7">
        <v>0</v>
      </c>
      <c r="AE59" s="30" t="str">
        <f>HYPERLINK("https://pubmed.ncbi.nlm.nih.gov/37915648/", "37915648")</f>
        <v>37915648</v>
      </c>
      <c r="AF59" s="30" t="str">
        <f>HYPERLINK("https://pubmed.ncbi.nlm.nih.gov/38693969/", "38693969")</f>
        <v>38693969</v>
      </c>
      <c r="AG59" s="61">
        <v>0</v>
      </c>
      <c r="AH59" s="61">
        <v>0</v>
      </c>
      <c r="AI59" s="61">
        <v>1</v>
      </c>
      <c r="AJ59" s="61">
        <v>1</v>
      </c>
      <c r="AK59" s="61">
        <v>1</v>
      </c>
      <c r="AL59" s="64">
        <v>3017527</v>
      </c>
      <c r="AM59" s="64"/>
    </row>
    <row r="60" spans="1:39" ht="18" customHeight="1">
      <c r="A60" s="86" t="s">
        <v>201</v>
      </c>
      <c r="B60" s="81" t="s">
        <v>202</v>
      </c>
      <c r="C60" s="82" t="s">
        <v>141</v>
      </c>
      <c r="D60" s="82" t="s">
        <v>138</v>
      </c>
      <c r="E60" s="65" t="str">
        <f>HYPERLINK("https://ictv.global/taxonomy/taxondetails?taxnode_id=202303113","202303113")</f>
        <v>202303113</v>
      </c>
      <c r="F60" s="83">
        <v>1</v>
      </c>
      <c r="G60" s="3" t="s">
        <v>776</v>
      </c>
      <c r="H60" s="68" t="s">
        <v>842</v>
      </c>
      <c r="I60" s="84">
        <v>1975</v>
      </c>
      <c r="J60" s="85" t="s">
        <v>181</v>
      </c>
      <c r="K60" s="85" t="s">
        <v>754</v>
      </c>
      <c r="L60" s="76">
        <v>1.5532779999999999</v>
      </c>
      <c r="M60" s="76">
        <v>110.359213</v>
      </c>
      <c r="N60" s="66" t="str">
        <f>HYPERLINK("https://www.ncbi.nlm.nih.gov/pubmed/809868", "809868")</f>
        <v>809868</v>
      </c>
      <c r="O60" s="28">
        <v>2</v>
      </c>
      <c r="P60" s="54">
        <v>23551969</v>
      </c>
      <c r="Q60" s="54"/>
      <c r="R60" s="54"/>
      <c r="S60" s="7">
        <v>1</v>
      </c>
      <c r="T60" s="77" t="s">
        <v>154</v>
      </c>
      <c r="U60" s="30">
        <v>3310660</v>
      </c>
      <c r="V60" s="30">
        <v>3820315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30" t="str">
        <f>HYPERLINK("https://pubmed.ncbi.nlm.nih.gov/26063866/", "26063866")</f>
        <v>26063866</v>
      </c>
      <c r="AF60" s="30" t="str">
        <f>HYPERLINK("https://pubmed.ncbi.nlm.nih.gov/37515135/", "37515135")</f>
        <v>37515135</v>
      </c>
      <c r="AG60" s="61">
        <v>0</v>
      </c>
      <c r="AH60" s="61">
        <v>0</v>
      </c>
      <c r="AI60" s="61">
        <v>0</v>
      </c>
      <c r="AJ60" s="61">
        <v>1</v>
      </c>
      <c r="AK60" s="61">
        <v>0</v>
      </c>
      <c r="AL60" s="64">
        <v>22000358</v>
      </c>
      <c r="AM60" s="64"/>
    </row>
    <row r="61" spans="1:39" ht="18" customHeight="1">
      <c r="A61" s="80" t="s">
        <v>203</v>
      </c>
      <c r="B61" s="81" t="s">
        <v>204</v>
      </c>
      <c r="C61" s="82" t="s">
        <v>141</v>
      </c>
      <c r="D61" s="82" t="s">
        <v>138</v>
      </c>
      <c r="E61" s="65" t="str">
        <f>HYPERLINK("https://ictv.global/taxonomy/taxondetails?taxnode_id=202303116","202303116")</f>
        <v>202303116</v>
      </c>
      <c r="F61" s="83">
        <v>1</v>
      </c>
      <c r="G61" s="3" t="s">
        <v>776</v>
      </c>
      <c r="H61" s="68"/>
      <c r="I61" s="84">
        <v>1952</v>
      </c>
      <c r="J61" s="85" t="s">
        <v>116</v>
      </c>
      <c r="K61" s="85" t="s">
        <v>757</v>
      </c>
      <c r="L61" s="76">
        <v>0.75114899999999996</v>
      </c>
      <c r="M61" s="76">
        <v>30.020295999999998</v>
      </c>
      <c r="N61" s="66" t="str">
        <f>HYPERLINK("https://www.ncbi.nlm.nih.gov/pubmed/13005679", "13005679")</f>
        <v>13005679</v>
      </c>
      <c r="O61" s="28">
        <v>2</v>
      </c>
      <c r="P61" s="54">
        <v>13077697</v>
      </c>
      <c r="Q61" s="54"/>
      <c r="R61" s="54"/>
      <c r="S61" s="7">
        <v>1</v>
      </c>
      <c r="T61" s="77" t="s">
        <v>154</v>
      </c>
      <c r="U61" s="30">
        <v>13005679</v>
      </c>
      <c r="V61" s="53"/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30">
        <v>1659238</v>
      </c>
      <c r="AF61" s="30"/>
      <c r="AG61" s="61">
        <v>0</v>
      </c>
      <c r="AH61" s="61">
        <v>1</v>
      </c>
      <c r="AI61" s="61">
        <v>1</v>
      </c>
      <c r="AJ61" s="61">
        <v>0</v>
      </c>
      <c r="AK61" s="61">
        <v>0</v>
      </c>
      <c r="AL61" s="64">
        <v>19741066</v>
      </c>
      <c r="AM61" s="64" t="str">
        <f>HYPERLINK("https://pubmed.ncbi.nlm.nih.gov/31664886/", "31664886")</f>
        <v>31664886</v>
      </c>
    </row>
    <row r="62" spans="1:39" ht="18" customHeight="1">
      <c r="A62" s="86" t="s">
        <v>205</v>
      </c>
      <c r="B62" s="81" t="s">
        <v>206</v>
      </c>
      <c r="C62" s="82" t="s">
        <v>141</v>
      </c>
      <c r="D62" s="82" t="s">
        <v>138</v>
      </c>
      <c r="E62" s="65" t="str">
        <f>HYPERLINK("https://ictv.global/taxonomy/taxondetails?taxnode_id=202303117","202303117")</f>
        <v>202303117</v>
      </c>
      <c r="F62" s="83">
        <v>1</v>
      </c>
      <c r="G62" s="3" t="s">
        <v>776</v>
      </c>
      <c r="H62" s="68" t="s">
        <v>843</v>
      </c>
      <c r="I62" s="84">
        <v>2009</v>
      </c>
      <c r="J62" s="85" t="s">
        <v>208</v>
      </c>
      <c r="K62" s="85" t="s">
        <v>753</v>
      </c>
      <c r="L62" s="76">
        <v>44.596761000000001</v>
      </c>
      <c r="M62" s="76">
        <v>11.218640000000001</v>
      </c>
      <c r="N62" s="66" t="str">
        <f>HYPERLINK("https://www.ncbi.nlm.nih.gov/pubmed/20070936", "20070936")</f>
        <v>20070936</v>
      </c>
      <c r="O62" s="28">
        <v>2</v>
      </c>
      <c r="P62" s="54">
        <v>28602915</v>
      </c>
      <c r="Q62" s="54" t="str">
        <f>HYPERLINK("https://pubmed.ncbi.nlm.nih.gov/38675940/", "38675940")</f>
        <v>38675940</v>
      </c>
      <c r="R62" s="54"/>
      <c r="S62" s="7">
        <v>1</v>
      </c>
      <c r="T62" s="77" t="s">
        <v>154</v>
      </c>
      <c r="U62" s="30">
        <v>21871214</v>
      </c>
      <c r="V62" s="30" t="str">
        <f>HYPERLINK("https://pubmed.ncbi.nlm.nih.gov/38392871/", "38392871")</f>
        <v>38392871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30" t="s">
        <v>207</v>
      </c>
      <c r="AF62" s="30"/>
      <c r="AG62" s="61">
        <v>0</v>
      </c>
      <c r="AH62" s="61">
        <v>0</v>
      </c>
      <c r="AI62" s="61">
        <v>1</v>
      </c>
      <c r="AJ62" s="61">
        <v>1</v>
      </c>
      <c r="AK62" s="61">
        <v>0</v>
      </c>
      <c r="AL62" s="64">
        <v>22389712</v>
      </c>
      <c r="AM62" s="64">
        <v>6300226</v>
      </c>
    </row>
    <row r="63" spans="1:39" ht="18" customHeight="1">
      <c r="A63" s="86" t="s">
        <v>209</v>
      </c>
      <c r="B63" s="81" t="s">
        <v>210</v>
      </c>
      <c r="C63" s="82" t="s">
        <v>141</v>
      </c>
      <c r="D63" s="82" t="s">
        <v>138</v>
      </c>
      <c r="E63" s="65" t="str">
        <f>HYPERLINK("https://ictv.global/taxonomy/taxondetails?taxnode_id=202303118","202303118")</f>
        <v>202303118</v>
      </c>
      <c r="F63" s="83">
        <v>1</v>
      </c>
      <c r="G63" s="3" t="s">
        <v>776</v>
      </c>
      <c r="H63" s="68" t="s">
        <v>844</v>
      </c>
      <c r="I63" s="84">
        <v>1957</v>
      </c>
      <c r="J63" s="72" t="s">
        <v>747</v>
      </c>
      <c r="K63" s="85" t="s">
        <v>757</v>
      </c>
      <c r="L63" s="76">
        <v>-27.358989999999999</v>
      </c>
      <c r="M63" s="76">
        <v>32.322088999999998</v>
      </c>
      <c r="N63" s="66" t="str">
        <f>HYPERLINK("https://www.ncbi.nlm.nih.gov/pubmed/13506709", "13506709")</f>
        <v>13506709</v>
      </c>
      <c r="O63" s="28">
        <v>2</v>
      </c>
      <c r="P63" s="54">
        <v>28616499</v>
      </c>
      <c r="Q63" s="54"/>
      <c r="R63" s="54"/>
      <c r="S63" s="7">
        <v>1</v>
      </c>
      <c r="T63" s="77" t="s">
        <v>154</v>
      </c>
      <c r="U63" s="30" t="str">
        <f>HYPERLINK("https://pubmed.ncbi.nlm.nih.gov/15958020/", "15958020")</f>
        <v>15958020</v>
      </c>
      <c r="V63" s="30"/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30" t="str">
        <f>HYPERLINK("https://pubmed.ncbi.nlm.nih.gov/32414152/", "32414152")</f>
        <v>32414152</v>
      </c>
      <c r="AF63" s="30" t="str">
        <f>HYPERLINK("https://pubmed.ncbi.nlm.nih.gov/32367055/", "32367055")</f>
        <v>32367055</v>
      </c>
      <c r="AG63" s="61">
        <v>0</v>
      </c>
      <c r="AH63" s="61">
        <v>0</v>
      </c>
      <c r="AI63" s="61">
        <v>1</v>
      </c>
      <c r="AJ63" s="61">
        <v>0</v>
      </c>
      <c r="AK63" s="61">
        <v>0</v>
      </c>
      <c r="AL63" s="64">
        <v>6300226</v>
      </c>
      <c r="AM63" s="64"/>
    </row>
    <row r="64" spans="1:39" ht="18" customHeight="1">
      <c r="A64" s="86" t="s">
        <v>211</v>
      </c>
      <c r="B64" s="81" t="s">
        <v>212</v>
      </c>
      <c r="C64" s="82" t="s">
        <v>141</v>
      </c>
      <c r="D64" s="82" t="s">
        <v>138</v>
      </c>
      <c r="E64" s="65" t="str">
        <f>HYPERLINK("https://ictv.global/taxonomy/taxondetails?taxnode_id=202303123","202303123")</f>
        <v>202303123</v>
      </c>
      <c r="F64" s="83">
        <v>1</v>
      </c>
      <c r="G64" s="3" t="s">
        <v>776</v>
      </c>
      <c r="H64" s="68" t="s">
        <v>845</v>
      </c>
      <c r="I64" s="84">
        <v>1952</v>
      </c>
      <c r="J64" s="85" t="s">
        <v>116</v>
      </c>
      <c r="K64" s="85" t="s">
        <v>757</v>
      </c>
      <c r="L64" s="76">
        <v>0.121806</v>
      </c>
      <c r="M64" s="76">
        <v>32.526150999999999</v>
      </c>
      <c r="N64" s="66" t="str">
        <f>HYPERLINK("https://www.ncbi.nlm.nih.gov/pubmed/12995441", "12995441")</f>
        <v>12995441</v>
      </c>
      <c r="O64" s="28" t="s">
        <v>81</v>
      </c>
      <c r="P64" s="54">
        <v>28647173</v>
      </c>
      <c r="Q64" s="54"/>
      <c r="R64" s="54"/>
      <c r="S64" s="7">
        <v>1</v>
      </c>
      <c r="T64" s="77" t="s">
        <v>154</v>
      </c>
      <c r="U64" s="30">
        <v>14761645</v>
      </c>
      <c r="V64" s="30"/>
      <c r="W64" s="7">
        <v>0</v>
      </c>
      <c r="X64" s="7">
        <v>0</v>
      </c>
      <c r="Y64" s="7">
        <v>1</v>
      </c>
      <c r="Z64" s="7">
        <v>0</v>
      </c>
      <c r="AA64" s="7">
        <v>0</v>
      </c>
      <c r="AB64" s="7">
        <v>0</v>
      </c>
      <c r="AC64" s="7">
        <v>1</v>
      </c>
      <c r="AD64" s="7">
        <v>0</v>
      </c>
      <c r="AE64" s="30" t="s">
        <v>213</v>
      </c>
      <c r="AF64" s="112" t="s">
        <v>996</v>
      </c>
      <c r="AG64" s="61">
        <v>0</v>
      </c>
      <c r="AH64" s="61">
        <v>1</v>
      </c>
      <c r="AI64" s="61">
        <v>1</v>
      </c>
      <c r="AJ64" s="61">
        <v>0</v>
      </c>
      <c r="AK64" s="61">
        <v>0</v>
      </c>
      <c r="AL64" s="64">
        <v>21529401</v>
      </c>
      <c r="AM64" s="64"/>
    </row>
    <row r="65" spans="1:39" ht="18" customHeight="1">
      <c r="A65" s="83" t="s">
        <v>671</v>
      </c>
      <c r="B65" s="82" t="s">
        <v>214</v>
      </c>
      <c r="C65" s="82" t="s">
        <v>215</v>
      </c>
      <c r="D65" s="82" t="s">
        <v>138</v>
      </c>
      <c r="E65" s="65" t="str">
        <f>HYPERLINK("https://ictv.global/taxonomy/taxondetails?taxnode_id=202303147", "202303147")</f>
        <v>202303147</v>
      </c>
      <c r="F65" s="83">
        <v>1</v>
      </c>
      <c r="G65" s="3" t="s">
        <v>776</v>
      </c>
      <c r="H65" s="68" t="s">
        <v>846</v>
      </c>
      <c r="I65" s="84">
        <v>2015</v>
      </c>
      <c r="J65" s="85" t="s">
        <v>29</v>
      </c>
      <c r="K65" s="85" t="s">
        <v>755</v>
      </c>
      <c r="L65" s="75">
        <v>40.712775000000001</v>
      </c>
      <c r="M65" s="75">
        <v>-74.005972999999997</v>
      </c>
      <c r="N65" s="66" t="str">
        <f>HYPERLINK("https://www.ncbi.nlm.nih.gov/pubmed/?term=26396247", "26396247")</f>
        <v>26396247</v>
      </c>
      <c r="O65" s="28" t="s">
        <v>60</v>
      </c>
      <c r="P65" s="54">
        <v>26396247</v>
      </c>
      <c r="Q65" s="54">
        <v>26658760</v>
      </c>
      <c r="R65" s="54" t="str">
        <f>HYPERLINK("https://pubmed.ncbi.nlm.nih.gov/31965315/", "31965315")</f>
        <v>31965315</v>
      </c>
      <c r="S65" s="7">
        <v>0</v>
      </c>
      <c r="T65" s="77"/>
      <c r="U65" s="53"/>
      <c r="V65" s="53"/>
      <c r="W65" s="7">
        <v>0</v>
      </c>
      <c r="X65" s="7">
        <v>0</v>
      </c>
      <c r="Y65" s="7">
        <v>1</v>
      </c>
      <c r="Z65" s="7">
        <v>1</v>
      </c>
      <c r="AA65" s="7">
        <v>0</v>
      </c>
      <c r="AB65" s="7">
        <v>1</v>
      </c>
      <c r="AC65" s="7">
        <v>0</v>
      </c>
      <c r="AD65" s="7">
        <v>0</v>
      </c>
      <c r="AE65" s="30" t="str">
        <f>HYPERLINK("https://pubmed.ncbi.nlm.nih.gov/31965315/", "31965315")</f>
        <v>31965315</v>
      </c>
      <c r="AF65" s="30">
        <v>26658760</v>
      </c>
      <c r="AG65" s="61">
        <v>1</v>
      </c>
      <c r="AH65" s="61">
        <v>0</v>
      </c>
      <c r="AI65" s="61">
        <v>0</v>
      </c>
      <c r="AJ65" s="61">
        <v>0</v>
      </c>
      <c r="AK65" s="61">
        <v>0</v>
      </c>
      <c r="AL65" s="64">
        <v>26396247</v>
      </c>
      <c r="AM65" s="64">
        <v>26658760</v>
      </c>
    </row>
    <row r="66" spans="1:39" ht="18" customHeight="1">
      <c r="A66" s="86" t="s">
        <v>672</v>
      </c>
      <c r="B66" s="87" t="s">
        <v>216</v>
      </c>
      <c r="C66" s="82" t="s">
        <v>215</v>
      </c>
      <c r="D66" s="82" t="s">
        <v>138</v>
      </c>
      <c r="E66" s="65" t="str">
        <f>HYPERLINK("https://ictv.global/taxonomy/taxondetails?taxnode_id=202303142","202303142")</f>
        <v>202303142</v>
      </c>
      <c r="F66" s="83">
        <v>1</v>
      </c>
      <c r="G66" s="3" t="s">
        <v>776</v>
      </c>
      <c r="H66" s="68" t="s">
        <v>847</v>
      </c>
      <c r="I66" s="84">
        <v>1995</v>
      </c>
      <c r="J66" s="85" t="s">
        <v>87</v>
      </c>
      <c r="K66" s="85" t="s">
        <v>754</v>
      </c>
      <c r="L66" s="76">
        <v>35.689487</v>
      </c>
      <c r="M66" s="76">
        <v>139.69170600000001</v>
      </c>
      <c r="N66" s="66" t="str">
        <f>HYPERLINK("https://www.ncbi.nlm.nih.gov/pubmed/7475605", "7475605")</f>
        <v>7475605</v>
      </c>
      <c r="O66" s="28" t="s">
        <v>60</v>
      </c>
      <c r="P66" s="54">
        <v>21084497</v>
      </c>
      <c r="Q66" s="54" t="str">
        <f>HYPERLINK("https://www.ncbi.nlm.nih.gov/pubmed/15977226", "15977226")</f>
        <v>15977226</v>
      </c>
      <c r="R66" s="54"/>
      <c r="S66" s="7">
        <v>0</v>
      </c>
      <c r="T66" s="77"/>
      <c r="U66" s="53"/>
      <c r="V66" s="53"/>
      <c r="W66" s="7">
        <v>0</v>
      </c>
      <c r="X66" s="7">
        <v>0</v>
      </c>
      <c r="Y66" s="7">
        <v>1</v>
      </c>
      <c r="Z66" s="7">
        <v>1</v>
      </c>
      <c r="AA66" s="7">
        <v>0</v>
      </c>
      <c r="AB66" s="7">
        <v>1</v>
      </c>
      <c r="AC66" s="7">
        <v>1</v>
      </c>
      <c r="AD66" s="7">
        <v>1</v>
      </c>
      <c r="AE66" s="30" t="str">
        <f>HYPERLINK("https://pubmed.ncbi.nlm.nih.gov/35264187/", "35264187")</f>
        <v>35264187</v>
      </c>
      <c r="AF66" s="30" t="str">
        <f>HYPERLINK("https://pubmed.ncbi.nlm.nih.gov/35132924/", "35132924")</f>
        <v>35132924</v>
      </c>
      <c r="AG66" s="61">
        <v>1</v>
      </c>
      <c r="AH66" s="61">
        <v>0</v>
      </c>
      <c r="AI66" s="61">
        <v>0</v>
      </c>
      <c r="AJ66" s="61">
        <v>0</v>
      </c>
      <c r="AK66" s="61">
        <v>0</v>
      </c>
      <c r="AL66" s="64">
        <v>22752515</v>
      </c>
      <c r="AM66" s="64"/>
    </row>
    <row r="67" spans="1:39" ht="18" customHeight="1">
      <c r="A67" s="80" t="s">
        <v>673</v>
      </c>
      <c r="B67" s="81" t="s">
        <v>217</v>
      </c>
      <c r="C67" s="82" t="s">
        <v>218</v>
      </c>
      <c r="D67" s="82" t="s">
        <v>138</v>
      </c>
      <c r="E67" s="65" t="str">
        <f>HYPERLINK("https://ictv.global/taxonomy/taxondetails?taxnode_id=202303153","202303153")</f>
        <v>202303153</v>
      </c>
      <c r="F67" s="83">
        <v>1</v>
      </c>
      <c r="G67" s="3" t="s">
        <v>776</v>
      </c>
      <c r="H67" s="68" t="s">
        <v>848</v>
      </c>
      <c r="I67" s="84">
        <v>1988</v>
      </c>
      <c r="J67" s="85" t="s">
        <v>219</v>
      </c>
      <c r="K67" s="85" t="s">
        <v>753</v>
      </c>
      <c r="L67" s="76">
        <v>45.464202999999998</v>
      </c>
      <c r="M67" s="76">
        <v>9.1899820000000005</v>
      </c>
      <c r="N67" s="66" t="str">
        <f>HYPERLINK("https://www.ncbi.nlm.nih.gov/pubmed/2898685", "2898685")</f>
        <v>2898685</v>
      </c>
      <c r="O67" s="28">
        <v>2</v>
      </c>
      <c r="P67" s="54" t="str">
        <f>HYPERLINK("https://www.ncbi.nlm.nih.gov/pubmed/2898685", "2898685")</f>
        <v>2898685</v>
      </c>
      <c r="Q67" s="54"/>
      <c r="R67" s="54"/>
      <c r="S67" s="7">
        <v>0</v>
      </c>
      <c r="T67" s="77"/>
      <c r="U67" s="53"/>
      <c r="V67" s="53"/>
      <c r="W67" s="7" t="s">
        <v>17</v>
      </c>
      <c r="X67" s="7">
        <v>0</v>
      </c>
      <c r="Y67" s="7">
        <v>0</v>
      </c>
      <c r="Z67" s="7">
        <v>0</v>
      </c>
      <c r="AA67" s="7">
        <v>0</v>
      </c>
      <c r="AB67" s="60">
        <v>0</v>
      </c>
      <c r="AC67" s="60">
        <v>0</v>
      </c>
      <c r="AD67" s="7" t="s">
        <v>17</v>
      </c>
      <c r="AE67" s="30" t="str">
        <f>HYPERLINK("https://pubmed.ncbi.nlm.nih.gov/37960889/", "37960889")</f>
        <v>37960889</v>
      </c>
      <c r="AF67" s="30" t="str">
        <f>HYPERLINK("https://pubmed.ncbi.nlm.nih.gov/32295612/", "32295612")</f>
        <v>32295612</v>
      </c>
      <c r="AG67" s="61">
        <v>0</v>
      </c>
      <c r="AH67" s="61">
        <v>0</v>
      </c>
      <c r="AI67" s="61">
        <v>1</v>
      </c>
      <c r="AJ67" s="61">
        <v>0</v>
      </c>
      <c r="AK67" s="61">
        <v>0</v>
      </c>
      <c r="AL67" s="64">
        <v>20638945</v>
      </c>
      <c r="AM67" s="64"/>
    </row>
    <row r="68" spans="1:39" ht="18" customHeight="1">
      <c r="A68" s="86" t="s">
        <v>220</v>
      </c>
      <c r="B68" s="87" t="s">
        <v>221</v>
      </c>
      <c r="C68" s="82" t="s">
        <v>222</v>
      </c>
      <c r="D68" s="82" t="s">
        <v>223</v>
      </c>
      <c r="E68" s="65" t="str">
        <f>HYPERLINK("https://ictv.global/taxonomy/taxondetails?taxnode_id=202300022","202300022")</f>
        <v>202300022</v>
      </c>
      <c r="F68" s="83">
        <v>1</v>
      </c>
      <c r="G68" s="3" t="s">
        <v>774</v>
      </c>
      <c r="H68" s="68" t="s">
        <v>849</v>
      </c>
      <c r="I68" s="84">
        <v>1996</v>
      </c>
      <c r="J68" s="85" t="s">
        <v>37</v>
      </c>
      <c r="K68" s="85" t="s">
        <v>401</v>
      </c>
      <c r="L68" s="76">
        <v>-41.964922999999999</v>
      </c>
      <c r="M68" s="76">
        <v>-71.535338999999993</v>
      </c>
      <c r="N68" s="66" t="str">
        <f>HYPERLINK("https://www.ncbi.nlm.nih.gov/pubmed/8659118", "8659118")</f>
        <v>8659118</v>
      </c>
      <c r="O68" s="28">
        <v>3</v>
      </c>
      <c r="P68" s="54">
        <v>25272189</v>
      </c>
      <c r="Q68" s="54"/>
      <c r="R68" s="54"/>
      <c r="S68" s="7">
        <v>0</v>
      </c>
      <c r="T68" s="77"/>
      <c r="U68" s="53"/>
      <c r="V68" s="53"/>
      <c r="W68" s="7">
        <v>1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1</v>
      </c>
      <c r="AE68" s="30" t="str">
        <f>HYPERLINK("https://pubmed.ncbi.nlm.nih.gov/38005942/", "38005942")</f>
        <v>38005942</v>
      </c>
      <c r="AF68" s="30" t="str">
        <f>HYPERLINK("https://pubmed.ncbi.nlm.nih.gov/38582089/", "38582089")</f>
        <v>38582089</v>
      </c>
      <c r="AG68" s="61">
        <v>0</v>
      </c>
      <c r="AH68" s="61">
        <v>0</v>
      </c>
      <c r="AI68" s="61">
        <v>1</v>
      </c>
      <c r="AJ68" s="61">
        <v>0</v>
      </c>
      <c r="AK68" s="61">
        <v>0</v>
      </c>
      <c r="AL68" s="64">
        <v>12095430</v>
      </c>
      <c r="AM68" s="64"/>
    </row>
    <row r="69" spans="1:39" ht="18" customHeight="1">
      <c r="A69" s="86" t="s">
        <v>674</v>
      </c>
      <c r="B69" s="87" t="s">
        <v>224</v>
      </c>
      <c r="C69" s="82" t="s">
        <v>222</v>
      </c>
      <c r="D69" s="82" t="s">
        <v>223</v>
      </c>
      <c r="E69" s="65" t="str">
        <f>HYPERLINK("https://ictv.global/taxonomy/taxondetails?taxnode_id=202300025","202300025")</f>
        <v>202300025</v>
      </c>
      <c r="F69" s="83">
        <v>1</v>
      </c>
      <c r="G69" s="3" t="s">
        <v>774</v>
      </c>
      <c r="H69" s="68" t="s">
        <v>850</v>
      </c>
      <c r="I69" s="84">
        <v>1995</v>
      </c>
      <c r="J69" s="85" t="s">
        <v>29</v>
      </c>
      <c r="K69" s="85" t="s">
        <v>755</v>
      </c>
      <c r="L69" s="76">
        <v>30.984297999999999</v>
      </c>
      <c r="M69" s="76">
        <v>-91.962333000000001</v>
      </c>
      <c r="N69" s="66" t="str">
        <f>HYPERLINK("https://www.ncbi.nlm.nih.gov/pubmed/7853545", "7853545")</f>
        <v>7853545</v>
      </c>
      <c r="O69" s="28">
        <v>2</v>
      </c>
      <c r="P69" s="54">
        <v>24274585</v>
      </c>
      <c r="Q69" s="54"/>
      <c r="R69" s="54"/>
      <c r="S69" s="7">
        <v>0</v>
      </c>
      <c r="T69" s="77"/>
      <c r="U69" s="53"/>
      <c r="V69" s="53"/>
      <c r="W69" s="7" t="s">
        <v>17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30">
        <v>20836801</v>
      </c>
      <c r="AF69" s="30"/>
      <c r="AG69" s="61">
        <v>0</v>
      </c>
      <c r="AH69" s="61">
        <v>0</v>
      </c>
      <c r="AI69" s="61">
        <v>1</v>
      </c>
      <c r="AJ69" s="61">
        <v>0</v>
      </c>
      <c r="AK69" s="61">
        <v>0</v>
      </c>
      <c r="AL69" s="64">
        <v>20836801</v>
      </c>
      <c r="AM69" s="64"/>
    </row>
    <row r="70" spans="1:39" ht="18" customHeight="1">
      <c r="A70" s="86" t="s">
        <v>225</v>
      </c>
      <c r="B70" s="87" t="s">
        <v>226</v>
      </c>
      <c r="C70" s="82" t="s">
        <v>222</v>
      </c>
      <c r="D70" s="82" t="s">
        <v>223</v>
      </c>
      <c r="E70" s="65" t="str">
        <f>HYPERLINK("https://ictv.global/taxonomy/taxondetails?taxnode_id=202300031","202300031")</f>
        <v>202300031</v>
      </c>
      <c r="F70" s="83">
        <v>1</v>
      </c>
      <c r="G70" s="3" t="s">
        <v>774</v>
      </c>
      <c r="H70" s="68" t="s">
        <v>851</v>
      </c>
      <c r="I70" s="84">
        <v>2000</v>
      </c>
      <c r="J70" s="85" t="s">
        <v>143</v>
      </c>
      <c r="K70" s="85" t="s">
        <v>756</v>
      </c>
      <c r="L70" s="76">
        <v>7.7657030000000002</v>
      </c>
      <c r="M70" s="76">
        <v>-80.271158999999997</v>
      </c>
      <c r="N70" s="66" t="str">
        <f>HYPERLINK("https://www.ncbi.nlm.nih.gov/pubmed/11062031", "11062031")</f>
        <v>11062031</v>
      </c>
      <c r="O70" s="28">
        <v>2</v>
      </c>
      <c r="P70" s="54">
        <v>11062031</v>
      </c>
      <c r="Q70" s="54"/>
      <c r="R70" s="54"/>
      <c r="S70" s="7">
        <v>0</v>
      </c>
      <c r="T70" s="77"/>
      <c r="U70" s="53"/>
      <c r="V70" s="53"/>
      <c r="W70" s="7">
        <v>1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30" t="s">
        <v>227</v>
      </c>
      <c r="AF70" s="30" t="str">
        <f>HYPERLINK("https://pubmed.ncbi.nlm.nih.gov/32107494/", "32107494")</f>
        <v>32107494</v>
      </c>
      <c r="AG70" s="61">
        <v>0</v>
      </c>
      <c r="AH70" s="62">
        <v>0</v>
      </c>
      <c r="AI70" s="61">
        <v>1</v>
      </c>
      <c r="AJ70" s="61">
        <v>0</v>
      </c>
      <c r="AK70" s="61">
        <v>0</v>
      </c>
      <c r="AL70" s="64">
        <v>23836565</v>
      </c>
      <c r="AM70" s="64"/>
    </row>
    <row r="71" spans="1:39" ht="18" customHeight="1">
      <c r="A71" s="86" t="s">
        <v>228</v>
      </c>
      <c r="B71" s="87" t="s">
        <v>229</v>
      </c>
      <c r="C71" s="82" t="s">
        <v>222</v>
      </c>
      <c r="D71" s="82" t="s">
        <v>223</v>
      </c>
      <c r="E71" s="65" t="str">
        <f>HYPERLINK("https://ictv.global/taxonomy/taxondetails?taxnode_id=202300033","202300033")</f>
        <v>202300033</v>
      </c>
      <c r="F71" s="83">
        <v>1</v>
      </c>
      <c r="G71" s="3" t="s">
        <v>774</v>
      </c>
      <c r="H71" s="68" t="s">
        <v>852</v>
      </c>
      <c r="I71" s="84">
        <v>1992</v>
      </c>
      <c r="J71" s="85" t="s">
        <v>749</v>
      </c>
      <c r="K71" s="85" t="s">
        <v>753</v>
      </c>
      <c r="L71" s="76">
        <v>44.786568000000003</v>
      </c>
      <c r="M71" s="76">
        <v>20.448922</v>
      </c>
      <c r="N71" s="66" t="str">
        <f>HYPERLINK("https://www.ncbi.nlm.nih.gov/pubmed/1351508", "1351508")</f>
        <v>1351508</v>
      </c>
      <c r="O71" s="28">
        <v>2</v>
      </c>
      <c r="P71" s="54">
        <v>22877560</v>
      </c>
      <c r="Q71" s="54">
        <v>15004109</v>
      </c>
      <c r="R71" s="54"/>
      <c r="S71" s="7">
        <v>0</v>
      </c>
      <c r="T71" s="77"/>
      <c r="U71" s="53"/>
      <c r="V71" s="53"/>
      <c r="W71" s="7">
        <v>1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30" t="s">
        <v>230</v>
      </c>
      <c r="AF71" s="30" t="str">
        <f>HYPERLINK("https://pubmed.ncbi.nlm.nih.gov/34452504/", "34452504")</f>
        <v>34452504</v>
      </c>
      <c r="AG71" s="61">
        <v>0</v>
      </c>
      <c r="AH71" s="61">
        <v>0</v>
      </c>
      <c r="AI71" s="61">
        <v>1</v>
      </c>
      <c r="AJ71" s="61">
        <v>0</v>
      </c>
      <c r="AK71" s="61">
        <v>0</v>
      </c>
      <c r="AL71" s="64">
        <v>22877560</v>
      </c>
      <c r="AM71" s="64"/>
    </row>
    <row r="72" spans="1:39" ht="18" customHeight="1">
      <c r="A72" s="86" t="s">
        <v>231</v>
      </c>
      <c r="B72" s="87" t="s">
        <v>232</v>
      </c>
      <c r="C72" s="82" t="s">
        <v>222</v>
      </c>
      <c r="D72" s="82" t="s">
        <v>223</v>
      </c>
      <c r="E72" s="65" t="str">
        <f>HYPERLINK("https://ictv.global/taxonomy/taxondetails?taxnode_id=202300037","202300037")</f>
        <v>202300037</v>
      </c>
      <c r="F72" s="83">
        <v>1</v>
      </c>
      <c r="G72" s="3" t="s">
        <v>774</v>
      </c>
      <c r="H72" s="68" t="s">
        <v>853</v>
      </c>
      <c r="I72" s="84">
        <v>1978</v>
      </c>
      <c r="J72" s="85" t="s">
        <v>750</v>
      </c>
      <c r="K72" s="85" t="s">
        <v>754</v>
      </c>
      <c r="L72" s="76">
        <v>37.566535000000002</v>
      </c>
      <c r="M72" s="76">
        <v>126.977969</v>
      </c>
      <c r="N72" s="66" t="str">
        <f>HYPERLINK("https://www.ncbi.nlm.nih.gov/pubmed/24670", "24670")</f>
        <v>24670</v>
      </c>
      <c r="O72" s="28">
        <v>2</v>
      </c>
      <c r="P72" s="54">
        <v>20380897</v>
      </c>
      <c r="Q72" s="54" t="str">
        <f>HYPERLINK("https://pubmed.ncbi.nlm.nih.gov/37105214/", "37105214")</f>
        <v>37105214</v>
      </c>
      <c r="R72" s="54" t="str">
        <f>HYPERLINK("https://pubmed.ncbi.nlm.nih.gov/33074475/", "33074475")</f>
        <v>33074475</v>
      </c>
      <c r="S72" s="7">
        <v>0</v>
      </c>
      <c r="T72" s="77"/>
      <c r="U72" s="53"/>
      <c r="V72" s="53"/>
      <c r="W72" s="7">
        <v>1</v>
      </c>
      <c r="X72" s="7">
        <v>0</v>
      </c>
      <c r="Y72" s="7">
        <v>0</v>
      </c>
      <c r="Z72" s="7">
        <v>0</v>
      </c>
      <c r="AA72" s="7">
        <v>0</v>
      </c>
      <c r="AB72" s="7">
        <v>1</v>
      </c>
      <c r="AC72" s="7">
        <v>0</v>
      </c>
      <c r="AD72" s="7">
        <v>0</v>
      </c>
      <c r="AE72" s="30">
        <v>18305044</v>
      </c>
      <c r="AF72" s="30" t="str">
        <f>HYPERLINK("https://pubmed.ncbi.nlm.nih.gov/6142362/", "6142362")</f>
        <v>6142362</v>
      </c>
      <c r="AG72" s="61">
        <v>0</v>
      </c>
      <c r="AH72" s="61">
        <v>0</v>
      </c>
      <c r="AI72" s="61">
        <v>1</v>
      </c>
      <c r="AJ72" s="61">
        <v>0</v>
      </c>
      <c r="AK72" s="61">
        <v>0</v>
      </c>
      <c r="AL72" s="64">
        <v>22129409</v>
      </c>
      <c r="AM72" s="64"/>
    </row>
    <row r="73" spans="1:39" ht="18" customHeight="1">
      <c r="A73" s="86" t="s">
        <v>233</v>
      </c>
      <c r="B73" s="87" t="s">
        <v>234</v>
      </c>
      <c r="C73" s="82" t="s">
        <v>222</v>
      </c>
      <c r="D73" s="82" t="s">
        <v>223</v>
      </c>
      <c r="E73" s="65" t="str">
        <f>HYPERLINK("https://ictv.global/taxonomy/taxondetails?taxnode_id=202300042","202300042")</f>
        <v>202300042</v>
      </c>
      <c r="F73" s="83">
        <v>1</v>
      </c>
      <c r="G73" s="3" t="s">
        <v>774</v>
      </c>
      <c r="H73" s="68" t="s">
        <v>854</v>
      </c>
      <c r="I73" s="84">
        <v>1997</v>
      </c>
      <c r="J73" s="85" t="s">
        <v>236</v>
      </c>
      <c r="K73" s="85" t="s">
        <v>401</v>
      </c>
      <c r="L73" s="76">
        <v>-20.085251</v>
      </c>
      <c r="M73" s="76">
        <v>-59.472090000000001</v>
      </c>
      <c r="N73" s="66" t="str">
        <f>HYPERLINK("https://www.ncbi.nlm.nih.gov/pubmed/9375015", "9375015")</f>
        <v>9375015</v>
      </c>
      <c r="O73" s="28">
        <v>2</v>
      </c>
      <c r="P73" s="54">
        <v>15569801</v>
      </c>
      <c r="Q73" s="54"/>
      <c r="R73" s="54"/>
      <c r="S73" s="7">
        <v>0</v>
      </c>
      <c r="T73" s="77"/>
      <c r="U73" s="53"/>
      <c r="V73" s="53"/>
      <c r="W73" s="7" t="s">
        <v>17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30" t="s">
        <v>235</v>
      </c>
      <c r="AF73" s="30" t="str">
        <f>HYPERLINK("https://pubmed.ncbi.nlm.nih.gov/27223653/", "27223653")</f>
        <v>27223653</v>
      </c>
      <c r="AG73" s="61">
        <v>0</v>
      </c>
      <c r="AH73" s="61">
        <v>0</v>
      </c>
      <c r="AI73" s="61">
        <v>1</v>
      </c>
      <c r="AJ73" s="61">
        <v>0</v>
      </c>
      <c r="AK73" s="61">
        <v>0</v>
      </c>
      <c r="AL73" s="64">
        <v>11791973</v>
      </c>
      <c r="AM73" s="64"/>
    </row>
    <row r="74" spans="1:39" ht="18" customHeight="1">
      <c r="A74" s="86" t="s">
        <v>237</v>
      </c>
      <c r="B74" s="87" t="s">
        <v>238</v>
      </c>
      <c r="C74" s="82" t="s">
        <v>222</v>
      </c>
      <c r="D74" s="82" t="s">
        <v>223</v>
      </c>
      <c r="E74" s="65" t="str">
        <f>HYPERLINK("https://ictv.global/taxonomy/taxondetails?taxnode_id=202300026","202300026")</f>
        <v>202300026</v>
      </c>
      <c r="F74" s="83">
        <v>1</v>
      </c>
      <c r="G74" s="3" t="s">
        <v>774</v>
      </c>
      <c r="H74" s="68" t="s">
        <v>855</v>
      </c>
      <c r="I74" s="84">
        <v>1995</v>
      </c>
      <c r="J74" s="85" t="s">
        <v>29</v>
      </c>
      <c r="K74" s="85" t="s">
        <v>755</v>
      </c>
      <c r="L74" s="76">
        <v>25.758189999999999</v>
      </c>
      <c r="M74" s="76">
        <v>-80.336110000000005</v>
      </c>
      <c r="N74" s="66" t="str">
        <f>HYPERLINK("https://www.ncbi.nlm.nih.gov/pubmed/7618284", "7618284")</f>
        <v>7618284</v>
      </c>
      <c r="O74" s="28">
        <v>2</v>
      </c>
      <c r="P74" s="54">
        <v>8579086</v>
      </c>
      <c r="Q74" s="54"/>
      <c r="R74" s="54"/>
      <c r="S74" s="7">
        <v>0</v>
      </c>
      <c r="T74" s="77"/>
      <c r="U74" s="53"/>
      <c r="V74" s="53"/>
      <c r="W74" s="7">
        <v>1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30" t="s">
        <v>239</v>
      </c>
      <c r="AF74" s="30" t="str">
        <f>HYPERLINK("https://pubmed.ncbi.nlm.nih.gov/28714801/", "28714801")</f>
        <v>28714801</v>
      </c>
      <c r="AG74" s="61">
        <v>0</v>
      </c>
      <c r="AH74" s="61">
        <v>0</v>
      </c>
      <c r="AI74" s="61">
        <v>1</v>
      </c>
      <c r="AJ74" s="61">
        <v>0</v>
      </c>
      <c r="AK74" s="61">
        <v>0</v>
      </c>
      <c r="AL74" s="64">
        <v>20455779</v>
      </c>
      <c r="AM74" s="64"/>
    </row>
    <row r="75" spans="1:39" ht="18" customHeight="1">
      <c r="A75" s="86" t="s">
        <v>240</v>
      </c>
      <c r="B75" s="87" t="s">
        <v>241</v>
      </c>
      <c r="C75" s="82" t="s">
        <v>222</v>
      </c>
      <c r="D75" s="82" t="s">
        <v>223</v>
      </c>
      <c r="E75" s="65" t="str">
        <f>HYPERLINK("https://ictv.global/taxonomy/taxondetails?taxnode_id=202300052","202300052")</f>
        <v>202300052</v>
      </c>
      <c r="F75" s="83">
        <v>1</v>
      </c>
      <c r="G75" s="3" t="s">
        <v>774</v>
      </c>
      <c r="H75" s="68" t="s">
        <v>856</v>
      </c>
      <c r="I75" s="84">
        <v>1980</v>
      </c>
      <c r="J75" s="85" t="s">
        <v>242</v>
      </c>
      <c r="K75" s="85" t="s">
        <v>753</v>
      </c>
      <c r="L75" s="76">
        <v>60.169856000000003</v>
      </c>
      <c r="M75" s="76">
        <v>24.938379000000001</v>
      </c>
      <c r="N75" s="66" t="str">
        <f>HYPERLINK("https://www.ncbi.nlm.nih.gov/pubmed/6102587", "6102587")</f>
        <v>6102587</v>
      </c>
      <c r="O75" s="28">
        <v>2</v>
      </c>
      <c r="P75" s="54">
        <v>16650330</v>
      </c>
      <c r="Q75" s="54" t="str">
        <f>HYPERLINK("https://www.ncbi.nlm.nih.gov/pubmed/22877560", "22877560")</f>
        <v>22877560</v>
      </c>
      <c r="R75" s="54" t="str">
        <f>HYPERLINK("https://pubmed.ncbi.nlm.nih.gov/38526134/", "38526134")</f>
        <v>38526134</v>
      </c>
      <c r="S75" s="7">
        <v>0</v>
      </c>
      <c r="T75" s="77"/>
      <c r="U75" s="53"/>
      <c r="V75" s="53"/>
      <c r="W75" s="7">
        <v>1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30" t="str">
        <f>HYPERLINK("https://pubmed.ncbi.nlm.nih.gov/20308016/", "20308016")</f>
        <v>20308016</v>
      </c>
      <c r="AF75" s="30" t="str">
        <f>HYPERLINK("https://pubmed.ncbi.nlm.nih.gov/28943870/", "28943870")</f>
        <v>28943870</v>
      </c>
      <c r="AG75" s="61">
        <v>0</v>
      </c>
      <c r="AH75" s="61">
        <v>0</v>
      </c>
      <c r="AI75" s="61">
        <v>1</v>
      </c>
      <c r="AJ75" s="61">
        <v>0</v>
      </c>
      <c r="AK75" s="61">
        <v>0</v>
      </c>
      <c r="AL75" s="64">
        <v>22877560</v>
      </c>
      <c r="AM75" s="64"/>
    </row>
    <row r="76" spans="1:39" ht="18" customHeight="1">
      <c r="A76" s="86" t="s">
        <v>243</v>
      </c>
      <c r="B76" s="87" t="s">
        <v>244</v>
      </c>
      <c r="C76" s="82" t="s">
        <v>222</v>
      </c>
      <c r="D76" s="82" t="s">
        <v>223</v>
      </c>
      <c r="E76" s="65" t="str">
        <f>HYPERLINK("https://ictv.global/taxonomy/taxondetails?taxnode_id=202300055","202300055")</f>
        <v>202300055</v>
      </c>
      <c r="F76" s="83">
        <v>1</v>
      </c>
      <c r="G76" s="3" t="s">
        <v>774</v>
      </c>
      <c r="H76" s="68"/>
      <c r="I76" s="84">
        <v>2010</v>
      </c>
      <c r="J76" s="85" t="s">
        <v>246</v>
      </c>
      <c r="K76" s="85" t="s">
        <v>757</v>
      </c>
      <c r="L76" s="76">
        <v>8.2438520000000004</v>
      </c>
      <c r="M76" s="76">
        <v>-9.3229209999999991</v>
      </c>
      <c r="N76" s="66" t="str">
        <f>HYPERLINK("https://www.ncbi.nlm.nih.gov/pubmed/20187741", "20187741")</f>
        <v>20187741</v>
      </c>
      <c r="O76" s="58">
        <v>2</v>
      </c>
      <c r="P76" s="54">
        <v>20187741</v>
      </c>
      <c r="Q76" s="54" t="str">
        <f t="shared" ref="Q76:Q81" si="0">HYPERLINK("https://pubmed.ncbi.nlm.nih.gov/37105214/", "37105214")</f>
        <v>37105214</v>
      </c>
      <c r="R76" s="54"/>
      <c r="S76" s="7">
        <v>0</v>
      </c>
      <c r="T76" s="77"/>
      <c r="U76" s="53"/>
      <c r="V76" s="53"/>
      <c r="W76" s="7">
        <v>1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30" t="s">
        <v>245</v>
      </c>
      <c r="AF76" s="30"/>
      <c r="AG76" s="61">
        <v>0</v>
      </c>
      <c r="AH76" s="61">
        <v>0</v>
      </c>
      <c r="AI76" s="61">
        <v>1</v>
      </c>
      <c r="AJ76" s="61">
        <v>0</v>
      </c>
      <c r="AK76" s="61">
        <v>0</v>
      </c>
      <c r="AL76" s="64">
        <v>22278233</v>
      </c>
      <c r="AM76" s="64"/>
    </row>
    <row r="77" spans="1:39" ht="18" customHeight="1">
      <c r="A77" s="80" t="s">
        <v>247</v>
      </c>
      <c r="B77" s="87" t="s">
        <v>248</v>
      </c>
      <c r="C77" s="82" t="s">
        <v>222</v>
      </c>
      <c r="D77" s="82" t="s">
        <v>223</v>
      </c>
      <c r="E77" s="65" t="str">
        <f>HYPERLINK("https://ictv.global/taxonomy/taxondetails?taxnode_id=202300056","202300056")</f>
        <v>202300056</v>
      </c>
      <c r="F77" s="83">
        <v>1</v>
      </c>
      <c r="G77" s="3" t="s">
        <v>774</v>
      </c>
      <c r="H77" s="68" t="s">
        <v>857</v>
      </c>
      <c r="I77" s="84">
        <v>1982</v>
      </c>
      <c r="J77" s="85" t="s">
        <v>108</v>
      </c>
      <c r="K77" s="85" t="s">
        <v>754</v>
      </c>
      <c r="L77" s="74">
        <v>33.140172</v>
      </c>
      <c r="M77" s="74">
        <v>119.78892500000001</v>
      </c>
      <c r="N77" s="66" t="str">
        <f>HYPERLINK("https://www.ncbi.nlm.nih.gov/pubmed/6128079", "6128079")</f>
        <v>6128079</v>
      </c>
      <c r="O77" s="28">
        <v>2</v>
      </c>
      <c r="P77" s="54">
        <v>29023435</v>
      </c>
      <c r="Q77" s="54" t="str">
        <f t="shared" si="0"/>
        <v>37105214</v>
      </c>
      <c r="R77" s="54"/>
      <c r="S77" s="7">
        <v>0</v>
      </c>
      <c r="T77" s="77"/>
      <c r="U77" s="53"/>
      <c r="V77" s="53"/>
      <c r="W77" s="7">
        <v>1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30" t="str">
        <f>HYPERLINK("https://pubmed.ncbi.nlm.nih.gov/29393924/", "29393924")</f>
        <v>29393924</v>
      </c>
      <c r="AF77" s="30" t="str">
        <f>HYPERLINK("https://pubmed.ncbi.nlm.nih.gov/38536871/", "38536871")</f>
        <v>38536871</v>
      </c>
      <c r="AG77" s="61">
        <v>0</v>
      </c>
      <c r="AH77" s="61">
        <v>0</v>
      </c>
      <c r="AI77" s="61">
        <v>1</v>
      </c>
      <c r="AJ77" s="61">
        <v>0</v>
      </c>
      <c r="AK77" s="61">
        <v>0</v>
      </c>
      <c r="AL77" s="64">
        <v>23305714</v>
      </c>
      <c r="AM77" s="64"/>
    </row>
    <row r="78" spans="1:39" ht="18" customHeight="1">
      <c r="A78" s="80" t="s">
        <v>249</v>
      </c>
      <c r="B78" s="87" t="s">
        <v>250</v>
      </c>
      <c r="C78" s="82" t="s">
        <v>222</v>
      </c>
      <c r="D78" s="82" t="s">
        <v>223</v>
      </c>
      <c r="E78" s="65" t="str">
        <f>HYPERLINK("https://ictv.global/taxonomy/taxondetails?taxnode_id=202300057","202300057")</f>
        <v>202300057</v>
      </c>
      <c r="F78" s="83">
        <v>1</v>
      </c>
      <c r="G78" s="3" t="s">
        <v>774</v>
      </c>
      <c r="H78" s="68" t="s">
        <v>858</v>
      </c>
      <c r="I78" s="84">
        <v>1993</v>
      </c>
      <c r="J78" s="85" t="s">
        <v>29</v>
      </c>
      <c r="K78" s="85" t="s">
        <v>755</v>
      </c>
      <c r="L78" s="76">
        <v>34.519939999999998</v>
      </c>
      <c r="M78" s="76">
        <v>-105.87009</v>
      </c>
      <c r="N78" s="66" t="str">
        <f>HYPERLINK("https://www.ncbi.nlm.nih.gov/pubmed/8235615", "8235615")</f>
        <v>8235615</v>
      </c>
      <c r="O78" s="28">
        <v>2</v>
      </c>
      <c r="P78" s="54">
        <v>8603954</v>
      </c>
      <c r="Q78" s="54" t="str">
        <f t="shared" si="0"/>
        <v>37105214</v>
      </c>
      <c r="R78" s="54"/>
      <c r="S78" s="7">
        <v>0</v>
      </c>
      <c r="T78" s="77"/>
      <c r="U78" s="53"/>
      <c r="V78" s="53"/>
      <c r="W78" s="7">
        <v>1</v>
      </c>
      <c r="X78" s="7">
        <v>0</v>
      </c>
      <c r="Y78" s="7">
        <v>0</v>
      </c>
      <c r="Z78" s="7">
        <v>0</v>
      </c>
      <c r="AA78" s="7">
        <v>0</v>
      </c>
      <c r="AB78" s="7">
        <v>1</v>
      </c>
      <c r="AC78" s="7">
        <v>0</v>
      </c>
      <c r="AD78" s="7">
        <v>0</v>
      </c>
      <c r="AE78" s="30" t="s">
        <v>251</v>
      </c>
      <c r="AF78" s="30" t="str">
        <f>HYPERLINK("https://pubmed.ncbi.nlm.nih.gov/37998012/", "37998012")</f>
        <v>37998012</v>
      </c>
      <c r="AG78" s="61">
        <v>0</v>
      </c>
      <c r="AH78" s="61">
        <v>0</v>
      </c>
      <c r="AI78" s="61">
        <v>1</v>
      </c>
      <c r="AJ78" s="61">
        <v>0</v>
      </c>
      <c r="AK78" s="61">
        <v>0</v>
      </c>
      <c r="AL78" s="64">
        <v>23110096</v>
      </c>
      <c r="AM78" s="64"/>
    </row>
    <row r="79" spans="1:39" ht="18" customHeight="1">
      <c r="A79" s="86" t="s">
        <v>252</v>
      </c>
      <c r="B79" s="87" t="s">
        <v>253</v>
      </c>
      <c r="C79" s="82" t="s">
        <v>222</v>
      </c>
      <c r="D79" s="82" t="s">
        <v>223</v>
      </c>
      <c r="E79" s="65" t="str">
        <f>HYPERLINK("https://ictv.global/taxonomy/taxondetails?taxnode_id=202300058","202300058")</f>
        <v>202300058</v>
      </c>
      <c r="F79" s="83">
        <v>1</v>
      </c>
      <c r="G79" s="3" t="s">
        <v>774</v>
      </c>
      <c r="H79" s="68"/>
      <c r="I79" s="84">
        <v>2006</v>
      </c>
      <c r="J79" s="85" t="s">
        <v>255</v>
      </c>
      <c r="K79" s="85" t="s">
        <v>754</v>
      </c>
      <c r="L79" s="76">
        <v>14.882904999999999</v>
      </c>
      <c r="M79" s="76">
        <v>103.493711</v>
      </c>
      <c r="N79" s="66" t="str">
        <f>HYPERLINK("https://www.ncbi.nlm.nih.gov/pubmed/17124002", "17124002")</f>
        <v>17124002</v>
      </c>
      <c r="O79" s="28">
        <v>2</v>
      </c>
      <c r="P79" s="54">
        <v>17124002</v>
      </c>
      <c r="Q79" s="54" t="str">
        <f t="shared" si="0"/>
        <v>37105214</v>
      </c>
      <c r="R79" s="54"/>
      <c r="S79" s="7">
        <v>0</v>
      </c>
      <c r="T79" s="77"/>
      <c r="U79" s="53"/>
      <c r="V79" s="53"/>
      <c r="W79" s="7">
        <v>1</v>
      </c>
      <c r="X79" s="7">
        <v>0</v>
      </c>
      <c r="Y79" s="7">
        <v>0</v>
      </c>
      <c r="Z79" s="7">
        <v>0</v>
      </c>
      <c r="AA79" s="7">
        <v>0</v>
      </c>
      <c r="AB79" s="60">
        <v>0</v>
      </c>
      <c r="AC79" s="60">
        <v>0</v>
      </c>
      <c r="AD79" s="7">
        <v>0</v>
      </c>
      <c r="AE79" s="30" t="s">
        <v>254</v>
      </c>
      <c r="AF79" s="30" t="str">
        <f>HYPERLINK("https://pubmed.ncbi.nlm.nih.gov/32091377/", "32091377")</f>
        <v>32091377</v>
      </c>
      <c r="AG79" s="61">
        <v>0</v>
      </c>
      <c r="AH79" s="61">
        <v>0</v>
      </c>
      <c r="AI79" s="61">
        <v>1</v>
      </c>
      <c r="AJ79" s="61">
        <v>0</v>
      </c>
      <c r="AK79" s="61">
        <v>0</v>
      </c>
      <c r="AL79" s="64">
        <v>16953877</v>
      </c>
      <c r="AM79" s="64"/>
    </row>
    <row r="80" spans="1:39" ht="18" customHeight="1">
      <c r="A80" s="86" t="s">
        <v>256</v>
      </c>
      <c r="B80" s="87" t="s">
        <v>257</v>
      </c>
      <c r="C80" s="82" t="s">
        <v>222</v>
      </c>
      <c r="D80" s="82" t="s">
        <v>223</v>
      </c>
      <c r="E80" s="65" t="str">
        <f>HYPERLINK("https://ictv.global/taxonomy/taxondetails?taxnode_id=202300060","202300060")</f>
        <v>202300060</v>
      </c>
      <c r="F80" s="83">
        <v>1</v>
      </c>
      <c r="G80" s="3" t="s">
        <v>774</v>
      </c>
      <c r="H80" s="68" t="s">
        <v>859</v>
      </c>
      <c r="I80" s="84">
        <v>1996</v>
      </c>
      <c r="J80" s="85" t="s">
        <v>258</v>
      </c>
      <c r="K80" s="85" t="s">
        <v>753</v>
      </c>
      <c r="L80" s="76">
        <v>49.195098000000002</v>
      </c>
      <c r="M80" s="76">
        <v>16.606729999999999</v>
      </c>
      <c r="N80" s="66" t="str">
        <f>HYPERLINK("https://www.ncbi.nlm.nih.gov/pubmed/9000098", "9000098")</f>
        <v>9000098</v>
      </c>
      <c r="O80" s="28">
        <v>2</v>
      </c>
      <c r="P80" s="54">
        <v>9000098</v>
      </c>
      <c r="Q80" s="54" t="str">
        <f t="shared" si="0"/>
        <v>37105214</v>
      </c>
      <c r="R80" s="54"/>
      <c r="S80" s="7">
        <v>0</v>
      </c>
      <c r="T80" s="77"/>
      <c r="U80" s="53"/>
      <c r="V80" s="53"/>
      <c r="W80" s="7">
        <v>1</v>
      </c>
      <c r="X80" s="7">
        <v>0</v>
      </c>
      <c r="Y80" s="7">
        <v>0</v>
      </c>
      <c r="Z80" s="7">
        <v>0</v>
      </c>
      <c r="AA80" s="7">
        <v>0</v>
      </c>
      <c r="AB80" s="7">
        <v>1</v>
      </c>
      <c r="AC80" s="60">
        <v>0</v>
      </c>
      <c r="AD80" s="7">
        <v>0</v>
      </c>
      <c r="AE80" s="30" t="str">
        <f>HYPERLINK("https://pubmed.ncbi.nlm.nih.gov/12072943/", "12072943")</f>
        <v>12072943</v>
      </c>
      <c r="AF80" s="30" t="str">
        <f>HYPERLINK("https://pubmed.ncbi.nlm.nih.gov/19889769/", "19889769")</f>
        <v>19889769</v>
      </c>
      <c r="AG80" s="61">
        <v>0</v>
      </c>
      <c r="AH80" s="61">
        <v>0</v>
      </c>
      <c r="AI80" s="61">
        <v>1</v>
      </c>
      <c r="AJ80" s="61">
        <v>0</v>
      </c>
      <c r="AK80" s="61">
        <v>0</v>
      </c>
      <c r="AL80" s="64">
        <v>19889769</v>
      </c>
      <c r="AM80" s="64"/>
    </row>
    <row r="81" spans="1:74" ht="18" customHeight="1">
      <c r="A81" s="80" t="s">
        <v>259</v>
      </c>
      <c r="B81" s="81" t="s">
        <v>260</v>
      </c>
      <c r="C81" s="82" t="s">
        <v>261</v>
      </c>
      <c r="D81" s="82" t="s">
        <v>223</v>
      </c>
      <c r="E81" s="65" t="str">
        <f>HYPERLINK("https://ictv.global/taxonomy/taxondetails?taxnode_id=202300059","202300059")</f>
        <v>202300059</v>
      </c>
      <c r="F81" s="83">
        <v>1</v>
      </c>
      <c r="G81" s="3" t="s">
        <v>774</v>
      </c>
      <c r="H81" s="68" t="s">
        <v>860</v>
      </c>
      <c r="I81" s="84">
        <v>2007</v>
      </c>
      <c r="J81" s="85" t="s">
        <v>255</v>
      </c>
      <c r="K81" s="85" t="s">
        <v>754</v>
      </c>
      <c r="L81" s="74">
        <v>17.87828</v>
      </c>
      <c r="M81" s="74">
        <v>102.741264</v>
      </c>
      <c r="N81" s="66" t="str">
        <f>HYPERLINK("https://www.ncbi.nlm.nih.gov/pubmed/17182762", "17182762")</f>
        <v>17182762</v>
      </c>
      <c r="O81" s="28">
        <v>2</v>
      </c>
      <c r="P81" s="54">
        <v>17182762</v>
      </c>
      <c r="Q81" s="54" t="str">
        <f t="shared" si="0"/>
        <v>37105214</v>
      </c>
      <c r="R81" s="54"/>
      <c r="S81" s="7">
        <v>0</v>
      </c>
      <c r="T81" s="77"/>
      <c r="U81" s="53"/>
      <c r="V81" s="53"/>
      <c r="W81" s="7" t="s">
        <v>17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30" t="s">
        <v>262</v>
      </c>
      <c r="AF81" s="30" t="str">
        <f>HYPERLINK("https://pubmed.ncbi.nlm.nih.gov/38137960/", "38137960" )</f>
        <v>38137960</v>
      </c>
      <c r="AG81" s="62">
        <v>0</v>
      </c>
      <c r="AH81" s="62">
        <v>0</v>
      </c>
      <c r="AI81" s="61">
        <v>1</v>
      </c>
      <c r="AJ81" s="61">
        <v>0</v>
      </c>
      <c r="AK81" s="61">
        <v>0</v>
      </c>
      <c r="AL81" s="64">
        <v>17182762</v>
      </c>
      <c r="AM81" s="64"/>
    </row>
    <row r="82" spans="1:74" ht="18" customHeight="1">
      <c r="A82" s="86" t="s">
        <v>675</v>
      </c>
      <c r="B82" s="87" t="s">
        <v>263</v>
      </c>
      <c r="C82" s="82" t="s">
        <v>264</v>
      </c>
      <c r="D82" s="82" t="s">
        <v>265</v>
      </c>
      <c r="E82" s="65" t="str">
        <f>HYPERLINK("https://ictv.global/taxonomy/taxondetails?taxnode_id=202303665","202303665")</f>
        <v>202303665</v>
      </c>
      <c r="F82" s="83">
        <v>0</v>
      </c>
      <c r="G82" s="3" t="s">
        <v>776</v>
      </c>
      <c r="H82" s="68" t="s">
        <v>861</v>
      </c>
      <c r="I82" s="84">
        <v>1983</v>
      </c>
      <c r="J82" s="85" t="s">
        <v>748</v>
      </c>
      <c r="K82" s="85" t="s">
        <v>754</v>
      </c>
      <c r="L82" s="76">
        <v>55.340395999999998</v>
      </c>
      <c r="M82" s="76">
        <v>38.291764999999998</v>
      </c>
      <c r="N82" s="66" t="str">
        <f>HYPERLINK("https://www.ncbi.nlm.nih.gov/pubmed/6409836", "6409836")</f>
        <v>6409836</v>
      </c>
      <c r="O82" s="58" t="s">
        <v>81</v>
      </c>
      <c r="P82" s="54">
        <v>24966702</v>
      </c>
      <c r="Q82" s="54"/>
      <c r="R82" s="54"/>
      <c r="S82" s="7">
        <v>0</v>
      </c>
      <c r="T82" s="77"/>
      <c r="U82" s="53"/>
      <c r="V82" s="53"/>
      <c r="W82" s="7">
        <v>0</v>
      </c>
      <c r="X82" s="7">
        <v>1</v>
      </c>
      <c r="Y82" s="7">
        <v>0</v>
      </c>
      <c r="Z82" s="7">
        <v>1</v>
      </c>
      <c r="AA82" s="7">
        <v>0</v>
      </c>
      <c r="AB82" s="7">
        <v>0</v>
      </c>
      <c r="AC82" s="7">
        <v>1</v>
      </c>
      <c r="AD82" s="7">
        <v>1</v>
      </c>
      <c r="AE82" s="30" t="s">
        <v>266</v>
      </c>
      <c r="AF82" s="30" t="str">
        <f>HYPERLINK("https://pubmed.ncbi.nlm.nih.gov/36640568/", "36640568")</f>
        <v>36640568</v>
      </c>
      <c r="AG82" s="61">
        <v>0</v>
      </c>
      <c r="AH82" s="61">
        <v>1</v>
      </c>
      <c r="AI82" s="61">
        <v>1</v>
      </c>
      <c r="AJ82" s="61">
        <v>1</v>
      </c>
      <c r="AK82" s="61">
        <v>0</v>
      </c>
      <c r="AL82" s="64">
        <v>19697413</v>
      </c>
      <c r="AM82" s="64">
        <v>17961279</v>
      </c>
    </row>
    <row r="83" spans="1:74" ht="18" customHeight="1">
      <c r="A83" s="86" t="s">
        <v>676</v>
      </c>
      <c r="B83" s="87" t="s">
        <v>267</v>
      </c>
      <c r="C83" s="82" t="s">
        <v>268</v>
      </c>
      <c r="D83" s="82" t="s">
        <v>265</v>
      </c>
      <c r="E83" s="65" t="str">
        <f>HYPERLINK("https://ictv.global/taxonomy/taxondetails?taxnode_id=202303667","202303667")</f>
        <v>202303667</v>
      </c>
      <c r="F83" s="83">
        <v>0</v>
      </c>
      <c r="G83" s="3" t="s">
        <v>776</v>
      </c>
      <c r="H83" s="68" t="s">
        <v>862</v>
      </c>
      <c r="I83" s="84">
        <v>2018</v>
      </c>
      <c r="J83" s="85" t="s">
        <v>108</v>
      </c>
      <c r="K83" s="85" t="s">
        <v>754</v>
      </c>
      <c r="L83" s="76">
        <v>22.396428</v>
      </c>
      <c r="M83" s="76">
        <v>114.109497</v>
      </c>
      <c r="N83" s="66" t="str">
        <f>HYPERLINK("https://www.ncbi.nlm.nih.gov/pubmed/30457530", "30457530")</f>
        <v>30457530</v>
      </c>
      <c r="O83" s="28">
        <v>2</v>
      </c>
      <c r="P83" s="54" t="str">
        <f>HYPERLINK("https://www.ncbi.nlm.nih.gov/pubmed/30457530", "30457530")</f>
        <v>30457530</v>
      </c>
      <c r="Q83" s="54" t="str">
        <f>HYPERLINK("https://pubmed.ncbi.nlm.nih.gov/39035038/", "39035038")</f>
        <v>39035038</v>
      </c>
      <c r="R83" s="54"/>
      <c r="S83" s="7">
        <v>0</v>
      </c>
      <c r="T83" s="77"/>
      <c r="U83" s="53"/>
      <c r="V83" s="53"/>
      <c r="W83" s="7">
        <v>0</v>
      </c>
      <c r="X83" s="7">
        <v>0</v>
      </c>
      <c r="Y83" s="7">
        <v>0</v>
      </c>
      <c r="Z83" s="7">
        <v>1</v>
      </c>
      <c r="AA83" s="7">
        <v>0</v>
      </c>
      <c r="AB83" s="7">
        <v>0</v>
      </c>
      <c r="AC83" s="7">
        <v>0</v>
      </c>
      <c r="AD83" s="7">
        <v>0</v>
      </c>
      <c r="AE83" s="30" t="str">
        <f>HYPERLINK("https://www.ncbi.nlm.nih.gov/pubmed/30457530", "30457530")</f>
        <v>30457530</v>
      </c>
      <c r="AF83" s="30" t="str">
        <f>HYPERLINK("https://pubmed.ncbi.nlm.nih.gov/32106525/", "32106525")</f>
        <v>32106525</v>
      </c>
      <c r="AG83" s="61">
        <v>0</v>
      </c>
      <c r="AH83" s="61">
        <v>0</v>
      </c>
      <c r="AI83" s="61">
        <v>1</v>
      </c>
      <c r="AJ83" s="61">
        <v>0</v>
      </c>
      <c r="AK83" s="61">
        <v>0</v>
      </c>
      <c r="AL83" s="64" t="str">
        <f>HYPERLINK("https://pubmed.ncbi.nlm.nih.gov/32106525/", "32106525")</f>
        <v>32106525</v>
      </c>
      <c r="AM83" s="64" t="str">
        <f>HYPERLINK("https://www.ncbi.nlm.nih.gov/pubmed/30457530", "30457530")</f>
        <v>30457530</v>
      </c>
    </row>
    <row r="84" spans="1:74" ht="18" customHeight="1">
      <c r="A84" s="86" t="s">
        <v>677</v>
      </c>
      <c r="B84" s="87" t="s">
        <v>269</v>
      </c>
      <c r="C84" s="82" t="s">
        <v>270</v>
      </c>
      <c r="D84" s="82" t="s">
        <v>271</v>
      </c>
      <c r="E84" s="65" t="str">
        <f>HYPERLINK("https://ictv.global/taxonomy/taxondetails?taxnode_id=202305115","202305115")</f>
        <v>202305115</v>
      </c>
      <c r="F84" s="83">
        <v>1</v>
      </c>
      <c r="G84" s="3" t="s">
        <v>776</v>
      </c>
      <c r="H84" s="68" t="s">
        <v>863</v>
      </c>
      <c r="I84" s="84">
        <v>1942</v>
      </c>
      <c r="J84" s="85" t="s">
        <v>29</v>
      </c>
      <c r="K84" s="85" t="s">
        <v>755</v>
      </c>
      <c r="L84" s="76">
        <v>38.907192000000002</v>
      </c>
      <c r="M84" s="76">
        <v>-77.036871000000005</v>
      </c>
      <c r="N84" s="66" t="str">
        <f>HYPERLINK("http://www.jstor.org/stable/4584176", "Direct link")</f>
        <v>Direct link</v>
      </c>
      <c r="O84" s="28" t="s">
        <v>60</v>
      </c>
      <c r="P84" s="54" t="str">
        <f>HYPERLINK("https://www.ncbi.nlm.nih.gov/pubmed/16274497", "16274497")</f>
        <v>16274497</v>
      </c>
      <c r="Q84" s="54" t="str">
        <f>HYPERLINK("https://www.ncbi.nlm.nih.gov/pubmed/22335852", "22335852")</f>
        <v>22335852</v>
      </c>
      <c r="R84" s="54"/>
      <c r="S84" s="7">
        <v>0</v>
      </c>
      <c r="T84" s="77"/>
      <c r="U84" s="53"/>
      <c r="V84" s="53"/>
      <c r="W84" s="7">
        <v>1</v>
      </c>
      <c r="X84" s="7">
        <v>0</v>
      </c>
      <c r="Y84" s="7">
        <v>0</v>
      </c>
      <c r="Z84" s="7">
        <v>1</v>
      </c>
      <c r="AA84" s="7">
        <v>0</v>
      </c>
      <c r="AB84" s="7">
        <v>0</v>
      </c>
      <c r="AC84" s="7">
        <v>1</v>
      </c>
      <c r="AD84" s="7">
        <v>1</v>
      </c>
      <c r="AE84" s="30" t="str">
        <f>HYPERLINK("https://pubmed.ncbi.nlm.nih.gov/35367004/", "35367004")</f>
        <v>35367004</v>
      </c>
      <c r="AF84" s="30" t="str">
        <f>HYPERLINK("https://pubmed.ncbi.nlm.nih.gov/31658304/", "31658304")</f>
        <v>31658304</v>
      </c>
      <c r="AG84" s="61">
        <v>1</v>
      </c>
      <c r="AH84" s="61">
        <v>0</v>
      </c>
      <c r="AI84" s="61">
        <v>0</v>
      </c>
      <c r="AJ84" s="61">
        <v>0</v>
      </c>
      <c r="AK84" s="61">
        <v>0</v>
      </c>
      <c r="AL84" s="64">
        <v>22855483</v>
      </c>
      <c r="AM84" s="64">
        <v>17038700</v>
      </c>
    </row>
    <row r="85" spans="1:74" ht="18" customHeight="1">
      <c r="A85" s="83" t="s">
        <v>272</v>
      </c>
      <c r="B85" s="82" t="s">
        <v>273</v>
      </c>
      <c r="C85" s="82" t="s">
        <v>274</v>
      </c>
      <c r="D85" s="82" t="s">
        <v>275</v>
      </c>
      <c r="E85" s="65" t="str">
        <f>HYPERLINK("https://ictv.global/taxonomy/taxondetails?taxnode_id=202314218", "202314218")</f>
        <v>202314218</v>
      </c>
      <c r="F85" s="83">
        <v>1</v>
      </c>
      <c r="G85" s="3" t="s">
        <v>774</v>
      </c>
      <c r="H85" s="68" t="s">
        <v>864</v>
      </c>
      <c r="I85" s="84">
        <v>2021</v>
      </c>
      <c r="J85" s="72" t="s">
        <v>108</v>
      </c>
      <c r="K85" s="85" t="s">
        <v>754</v>
      </c>
      <c r="L85" s="75">
        <v>49.2896</v>
      </c>
      <c r="M85" s="75">
        <v>120.73488</v>
      </c>
      <c r="N85" s="66" t="str">
        <f>HYPERLINK("https://pubmed.ncbi.nlm.nih.gov/34044749/", "34044749")</f>
        <v>34044749</v>
      </c>
      <c r="O85" s="58">
        <v>2</v>
      </c>
      <c r="P85" s="54" t="str">
        <f>HYPERLINK("https://pubmed.ncbi.nlm.nih.gov/34044749/", "34044749")</f>
        <v>34044749</v>
      </c>
      <c r="Q85" s="54" t="str">
        <f>HYPERLINK("https://pubmed.ncbi.nlm.nih.gov/37714509/", "37714509")</f>
        <v>37714509</v>
      </c>
      <c r="R85" s="54"/>
      <c r="S85" s="7">
        <v>1</v>
      </c>
      <c r="T85" s="77" t="s">
        <v>276</v>
      </c>
      <c r="U85" s="30" t="str">
        <f>HYPERLINK("https://pubmed.ncbi.nlm.nih.gov/38259958/", "38259958")</f>
        <v>38259958</v>
      </c>
      <c r="V85" s="30" t="str">
        <f>HYPERLINK("https://pubmed.ncbi.nlm.nih.gov/36542659/", "36542659")</f>
        <v>36542659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30" t="str">
        <f>HYPERLINK("https://pubmed.ncbi.nlm.nih.gov/34044749/", "34044749")</f>
        <v>34044749</v>
      </c>
      <c r="AF85" s="30"/>
      <c r="AG85" s="61">
        <v>0</v>
      </c>
      <c r="AH85" s="61">
        <v>0</v>
      </c>
      <c r="AI85" s="61" t="s">
        <v>17</v>
      </c>
      <c r="AJ85" s="61">
        <v>0</v>
      </c>
      <c r="AK85" s="61">
        <v>0</v>
      </c>
      <c r="AL85" s="64" t="str">
        <f>HYPERLINK("https://pubmed.ncbi.nlm.nih.gov/34044749/", "34044749")</f>
        <v>34044749</v>
      </c>
      <c r="AM85" s="64"/>
    </row>
    <row r="86" spans="1:74" ht="18" customHeight="1">
      <c r="A86" s="86" t="s">
        <v>277</v>
      </c>
      <c r="B86" s="82" t="s">
        <v>278</v>
      </c>
      <c r="C86" s="82" t="s">
        <v>279</v>
      </c>
      <c r="D86" s="82" t="s">
        <v>275</v>
      </c>
      <c r="E86" s="65" t="str">
        <f>HYPERLINK("https://ictv.global/taxonomy/taxondetails?taxnode_id=202300072","202300072")</f>
        <v>202300072</v>
      </c>
      <c r="F86" s="83">
        <v>1</v>
      </c>
      <c r="G86" s="3" t="s">
        <v>774</v>
      </c>
      <c r="H86" s="68" t="s">
        <v>865</v>
      </c>
      <c r="I86" s="84">
        <v>1969</v>
      </c>
      <c r="J86" s="85" t="s">
        <v>43</v>
      </c>
      <c r="K86" s="85" t="s">
        <v>757</v>
      </c>
      <c r="L86" s="76">
        <v>7.3487200000000001</v>
      </c>
      <c r="M86" s="76">
        <v>3.8792900000000001</v>
      </c>
      <c r="N86" s="66" t="str">
        <f>HYPERLINK("https://www.ncbi.nlm.nih.gov/pubmed/5409104", "5409104")</f>
        <v>5409104</v>
      </c>
      <c r="O86" s="28">
        <v>2</v>
      </c>
      <c r="P86" s="54" t="str">
        <f>HYPERLINK("https://pubmed.ncbi.nlm.nih.gov/8666081/", "8666081")</f>
        <v>8666081</v>
      </c>
      <c r="Q86" s="54"/>
      <c r="R86" s="54"/>
      <c r="S86" s="7">
        <v>1</v>
      </c>
      <c r="T86" s="77" t="s">
        <v>163</v>
      </c>
      <c r="U86" s="30">
        <v>14761645</v>
      </c>
      <c r="V86" s="30" t="str">
        <f>HYPERLINK("https://pubmed.ncbi.nlm.nih.gov/29536246/", "29536246")</f>
        <v>29536246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30" t="s">
        <v>280</v>
      </c>
      <c r="AF86" s="30"/>
      <c r="AG86" s="61">
        <v>0</v>
      </c>
      <c r="AH86" s="61">
        <v>1</v>
      </c>
      <c r="AI86" s="61">
        <v>1</v>
      </c>
      <c r="AJ86" s="61">
        <v>1</v>
      </c>
      <c r="AK86" s="61">
        <v>0</v>
      </c>
      <c r="AL86" s="64">
        <v>8666081</v>
      </c>
      <c r="AM86" s="64" t="str">
        <f>HYPERLINK("https://pubmed.ncbi.nlm.nih.gov/36298785/", "36298785")</f>
        <v>36298785</v>
      </c>
    </row>
    <row r="87" spans="1:74" ht="18" customHeight="1">
      <c r="A87" s="86" t="s">
        <v>281</v>
      </c>
      <c r="B87" s="87" t="s">
        <v>788</v>
      </c>
      <c r="C87" s="82" t="s">
        <v>279</v>
      </c>
      <c r="D87" s="82" t="s">
        <v>275</v>
      </c>
      <c r="E87" s="65" t="str">
        <f>HYPERLINK("https://ictv.global/taxonomy/taxondetails?taxnode_id=202300070","202300070")</f>
        <v>202300070</v>
      </c>
      <c r="F87" s="83">
        <v>1</v>
      </c>
      <c r="G87" s="3" t="s">
        <v>774</v>
      </c>
      <c r="H87" s="68" t="s">
        <v>866</v>
      </c>
      <c r="I87" s="84">
        <v>1967</v>
      </c>
      <c r="J87" s="85" t="s">
        <v>131</v>
      </c>
      <c r="K87" s="85" t="s">
        <v>757</v>
      </c>
      <c r="L87" s="76">
        <v>0.52751000000000003</v>
      </c>
      <c r="M87" s="76">
        <v>25.188269999999999</v>
      </c>
      <c r="N87" s="66" t="str">
        <f>HYPERLINK("https://www.ncbi.nlm.nih.gov/pubmed/6040759", "6040759")</f>
        <v>6040759</v>
      </c>
      <c r="O87" s="28">
        <v>3</v>
      </c>
      <c r="P87" s="54" t="s">
        <v>282</v>
      </c>
      <c r="Q87" s="54" t="str">
        <f>HYPERLINK("https://pubmed.ncbi.nlm.nih.gov/33797610/", "33797610")</f>
        <v>33797610</v>
      </c>
      <c r="R87" s="54"/>
      <c r="S87" s="7">
        <v>1</v>
      </c>
      <c r="T87" s="77" t="s">
        <v>163</v>
      </c>
      <c r="U87" s="30" t="str">
        <f>HYPERLINK("https://pubmed.ncbi.nlm.nih.gov/38662658/", "38662658")</f>
        <v>38662658</v>
      </c>
      <c r="V87" s="30">
        <v>5866268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1</v>
      </c>
      <c r="AE87" s="30" t="str">
        <f>HYPERLINK("https://pubmed.ncbi.nlm.nih.gov/32854298/", "32854298")</f>
        <v>32854298</v>
      </c>
      <c r="AF87" s="30" t="str">
        <f>HYPERLINK("https://pubmed.ncbi.nlm.nih.gov/37985204/", "37985204")</f>
        <v>37985204</v>
      </c>
      <c r="AG87" s="61">
        <v>0</v>
      </c>
      <c r="AH87" s="61">
        <v>0</v>
      </c>
      <c r="AI87" s="61">
        <v>1</v>
      </c>
      <c r="AJ87" s="61">
        <v>1</v>
      </c>
      <c r="AK87" s="61">
        <v>0</v>
      </c>
      <c r="AL87" s="64">
        <v>3140434</v>
      </c>
      <c r="AM87" s="64">
        <v>22889105</v>
      </c>
    </row>
    <row r="88" spans="1:74" ht="18" customHeight="1">
      <c r="A88" s="83" t="s">
        <v>283</v>
      </c>
      <c r="B88" s="82" t="s">
        <v>284</v>
      </c>
      <c r="C88" s="82" t="s">
        <v>279</v>
      </c>
      <c r="D88" s="82" t="s">
        <v>275</v>
      </c>
      <c r="E88" s="65" t="str">
        <f>HYPERLINK("https://ictv.global/taxonomy/taxondetails?taxnode_id=202300077","202300077")</f>
        <v>202300077</v>
      </c>
      <c r="F88" s="83">
        <v>1</v>
      </c>
      <c r="G88" s="3" t="s">
        <v>774</v>
      </c>
      <c r="H88" s="68" t="s">
        <v>867</v>
      </c>
      <c r="I88" s="84">
        <v>1969</v>
      </c>
      <c r="J88" s="85" t="s">
        <v>146</v>
      </c>
      <c r="K88" s="85" t="s">
        <v>754</v>
      </c>
      <c r="L88" s="76">
        <v>12.916517000000001</v>
      </c>
      <c r="M88" s="76">
        <v>79.132498999999996</v>
      </c>
      <c r="N88" s="66" t="str">
        <f>HYPERLINK("https://pubmed.ncbi.nlm.nih.gov/4395257/", "4395257")</f>
        <v>4395257</v>
      </c>
      <c r="O88" s="28">
        <v>2</v>
      </c>
      <c r="P88" s="54" t="str">
        <f>HYPERLINK("https://www.ncbi.nlm.nih.gov/pubmed/30738361", "30738361")</f>
        <v>30738361</v>
      </c>
      <c r="Q88" s="54" t="str">
        <f>HYPERLINK("https://pubmed.ncbi.nlm.nih.gov/32793646/", "32793646")</f>
        <v>32793646</v>
      </c>
      <c r="R88" s="54" t="str">
        <f>HYPERLINK("https://pubmed.ncbi.nlm.nih.gov/33815379/", "33815379")</f>
        <v>33815379</v>
      </c>
      <c r="S88" s="7">
        <v>1</v>
      </c>
      <c r="T88" s="77" t="s">
        <v>163</v>
      </c>
      <c r="U88" s="30" t="str">
        <f>HYPERLINK("https://pubmed.ncbi.nlm.nih.gov/34199054/", "34199054")</f>
        <v>34199054</v>
      </c>
      <c r="V88" s="30">
        <v>5866268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30" t="str">
        <f>HYPERLINK("https://www.ncbi.nlm.nih.gov/pubmed/21511058", "21511058")</f>
        <v>21511058</v>
      </c>
      <c r="AF88" s="30"/>
      <c r="AG88" s="61">
        <v>0</v>
      </c>
      <c r="AH88" s="61">
        <v>0</v>
      </c>
      <c r="AI88" s="61">
        <v>1</v>
      </c>
      <c r="AJ88" s="61">
        <v>0</v>
      </c>
      <c r="AK88" s="61">
        <v>0</v>
      </c>
      <c r="AL88" s="64" t="str">
        <f>HYPERLINK("https://www.ncbi.nlm.nih.gov/pubmed/30738361", "30738361")</f>
        <v>30738361</v>
      </c>
      <c r="AM88" s="64"/>
    </row>
    <row r="89" spans="1:74" ht="18" customHeight="1">
      <c r="A89" s="83" t="s">
        <v>285</v>
      </c>
      <c r="B89" s="82" t="s">
        <v>286</v>
      </c>
      <c r="C89" s="82" t="s">
        <v>279</v>
      </c>
      <c r="D89" s="82" t="s">
        <v>275</v>
      </c>
      <c r="E89" s="65" t="str">
        <f>HYPERLINK("https://ictv.global/taxonomy/taxondetails?taxnode_id=202314217", "202314217")</f>
        <v>202314217</v>
      </c>
      <c r="F89" s="83">
        <v>1</v>
      </c>
      <c r="G89" s="3" t="s">
        <v>774</v>
      </c>
      <c r="H89" s="68" t="s">
        <v>868</v>
      </c>
      <c r="I89" s="84">
        <v>2021</v>
      </c>
      <c r="J89" s="72" t="s">
        <v>108</v>
      </c>
      <c r="K89" s="85" t="s">
        <v>754</v>
      </c>
      <c r="L89" s="75">
        <v>49.2896</v>
      </c>
      <c r="M89" s="75">
        <v>120.73488</v>
      </c>
      <c r="N89" s="66" t="str">
        <f>HYPERLINK("https://pubmed.ncbi.nlm.nih.gov/33603240/", "33603240")</f>
        <v>33603240</v>
      </c>
      <c r="O89" s="58">
        <v>2</v>
      </c>
      <c r="P89" s="54" t="str">
        <f>HYPERLINK("https://pubmed.ncbi.nlm.nih.gov/33603240/", "33603240")</f>
        <v>33603240</v>
      </c>
      <c r="Q89" s="54"/>
      <c r="R89" s="54"/>
      <c r="S89" s="7">
        <v>1</v>
      </c>
      <c r="T89" s="77" t="s">
        <v>276</v>
      </c>
      <c r="U89" s="30" t="str">
        <f>HYPERLINK("https://pubmed.ncbi.nlm.nih.gov/33603240/", "33603240")</f>
        <v>33603240</v>
      </c>
      <c r="V89" s="30" t="str">
        <f>HYPERLINK("https://pubmed.ncbi.nlm.nih.gov/36542659/", "36542659")</f>
        <v>36542659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30" t="str">
        <f>HYPERLINK("https://pubmed.ncbi.nlm.nih.gov/33603240/", "33603240")</f>
        <v>33603240</v>
      </c>
      <c r="AF89" s="30"/>
      <c r="AG89" s="61">
        <v>0</v>
      </c>
      <c r="AH89" s="61">
        <v>0</v>
      </c>
      <c r="AI89" s="61">
        <v>1</v>
      </c>
      <c r="AJ89" s="61">
        <v>0</v>
      </c>
      <c r="AK89" s="61">
        <v>0</v>
      </c>
      <c r="AL89" s="64" t="str">
        <f>HYPERLINK("https://pubmed.ncbi.nlm.nih.gov/36656283/", "36656283")</f>
        <v>36656283</v>
      </c>
      <c r="AM89" s="64"/>
    </row>
    <row r="90" spans="1:74" ht="18" customHeight="1">
      <c r="A90" s="89" t="s">
        <v>985</v>
      </c>
      <c r="B90" s="90" t="s">
        <v>787</v>
      </c>
      <c r="C90" s="82" t="s">
        <v>279</v>
      </c>
      <c r="D90" s="82" t="s">
        <v>275</v>
      </c>
      <c r="E90" s="65" t="str">
        <f>HYPERLINK("https://ictv.global/taxonomy/taxondetails?taxnode_id=202409775&amp;taxon_name=Orthonairovirus%20tachengense", "202409775")</f>
        <v>202409775</v>
      </c>
      <c r="F90" s="83">
        <v>1</v>
      </c>
      <c r="G90" s="3" t="s">
        <v>774</v>
      </c>
      <c r="H90" s="68"/>
      <c r="I90" s="84">
        <v>2020</v>
      </c>
      <c r="J90" s="88" t="s">
        <v>108</v>
      </c>
      <c r="K90" s="88" t="s">
        <v>754</v>
      </c>
      <c r="L90" s="75">
        <v>46.679099999999998</v>
      </c>
      <c r="M90" s="75">
        <v>90.375600000000006</v>
      </c>
      <c r="N90" s="66" t="str">
        <f>HYPERLINK("https://pubmed.ncbi.nlm.nih.gov/31260510/", "31260510")</f>
        <v>31260510</v>
      </c>
      <c r="O90" s="58">
        <v>2</v>
      </c>
      <c r="P90" s="54" t="str">
        <f>HYPERLINK("https://pubmed.ncbi.nlm.nih.gov/36656283/", "36656283")</f>
        <v>36656283</v>
      </c>
      <c r="Q90" s="54" t="str">
        <f>HYPERLINK("https://pubmed.ncbi.nlm.nih.gov/34823477/", "34823477")</f>
        <v>34823477</v>
      </c>
      <c r="R90" s="54"/>
      <c r="S90" s="7">
        <v>1</v>
      </c>
      <c r="T90" s="77" t="s">
        <v>276</v>
      </c>
      <c r="U90" s="30" t="str">
        <f>HYPERLINK("https://pubmed.ncbi.nlm.nih.gov/31260510/","31260510")</f>
        <v>31260510</v>
      </c>
      <c r="V90" s="30" t="str">
        <f>HYPERLINK("https://www.authorea.com/users/483342/articles/569503-tacheng-tick-virus-1-in-ticks-livestock-and-wildlife-in-border-regions-of-china-kazakhstan", "Direct link")</f>
        <v>Direct link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30" t="str">
        <f>HYPERLINK("https://pubmed.ncbi.nlm.nih.gov/31260510/", "31260510")</f>
        <v>31260510</v>
      </c>
      <c r="AF90" s="30" t="str">
        <f>HYPERLINK("https://pubmed.ncbi.nlm.nih.gov/25633976/", "25633976")</f>
        <v>25633976</v>
      </c>
      <c r="AG90" s="61">
        <v>0</v>
      </c>
      <c r="AH90" s="61">
        <v>0</v>
      </c>
      <c r="AI90" s="61">
        <v>1</v>
      </c>
      <c r="AJ90" s="61">
        <v>0</v>
      </c>
      <c r="AK90" s="61">
        <v>0</v>
      </c>
      <c r="AL90" s="64" t="str">
        <f>HYPERLINK("https://pubmed.ncbi.nlm.nih.gov/36656283/", "36656283")</f>
        <v>36656283</v>
      </c>
      <c r="AM90" s="64" t="str">
        <f>HYPERLINK("https://www.authorea.com/users/483342/articles/569503-tacheng-tick-virus-1-in-ticks-livestock-and-wildlife-in-border-regions-of-china-kazakhstan", "Direct link")</f>
        <v>Direct link</v>
      </c>
      <c r="AP90" s="31"/>
      <c r="AQ90" s="31"/>
      <c r="AS90" s="31"/>
      <c r="AT90" s="31"/>
      <c r="AU90" s="35"/>
      <c r="AV90" s="36"/>
      <c r="BC90" s="31"/>
      <c r="BD90" s="31"/>
      <c r="BJ90" s="37"/>
      <c r="BK90" s="37"/>
      <c r="BL90" s="33"/>
      <c r="BM90" s="33"/>
      <c r="BN90" s="42"/>
      <c r="BO90" s="43"/>
      <c r="BP90" s="43"/>
      <c r="BQ90" s="44"/>
      <c r="BR90" s="35"/>
      <c r="BS90" s="35"/>
      <c r="BT90" s="35"/>
      <c r="BV90" s="41"/>
    </row>
    <row r="91" spans="1:74" ht="18" customHeight="1">
      <c r="A91" s="86" t="s">
        <v>287</v>
      </c>
      <c r="B91" s="82" t="s">
        <v>288</v>
      </c>
      <c r="C91" s="82" t="s">
        <v>279</v>
      </c>
      <c r="D91" s="82" t="s">
        <v>275</v>
      </c>
      <c r="E91" s="65" t="str">
        <f>HYPERLINK("https://ictv.global/taxonomy/taxondetails?taxnode_id=202300080","202300080")</f>
        <v>202300080</v>
      </c>
      <c r="F91" s="83">
        <v>1</v>
      </c>
      <c r="G91" s="3" t="s">
        <v>774</v>
      </c>
      <c r="H91" s="68"/>
      <c r="I91" s="84">
        <v>1989</v>
      </c>
      <c r="J91" s="85" t="s">
        <v>290</v>
      </c>
      <c r="K91" s="85" t="s">
        <v>753</v>
      </c>
      <c r="L91" s="76">
        <v>47.983130000000003</v>
      </c>
      <c r="M91" s="76">
        <v>-0.40674199999999999</v>
      </c>
      <c r="N91" s="66" t="str">
        <f>HYPERLINK("https://www.ncbi.nlm.nih.gov/pubmed/2570514", "2570514")</f>
        <v>2570514</v>
      </c>
      <c r="O91" s="28">
        <v>2</v>
      </c>
      <c r="P91" s="54">
        <v>10879642</v>
      </c>
      <c r="Q91" s="54"/>
      <c r="R91" s="54"/>
      <c r="S91" s="7" t="s">
        <v>17</v>
      </c>
      <c r="T91" s="77" t="s">
        <v>779</v>
      </c>
      <c r="U91" s="30">
        <v>22864548</v>
      </c>
      <c r="V91" s="30" t="str">
        <f>HYPERLINK("https://pubmed.ncbi.nlm.nih.gov/37363265/", "37363265")</f>
        <v>37363265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30" t="s">
        <v>289</v>
      </c>
      <c r="AF91" s="30"/>
      <c r="AG91" s="62">
        <v>0</v>
      </c>
      <c r="AH91" s="62">
        <v>0</v>
      </c>
      <c r="AI91" s="61">
        <v>1</v>
      </c>
      <c r="AJ91" s="61">
        <v>0</v>
      </c>
      <c r="AK91" s="61">
        <v>0</v>
      </c>
      <c r="AL91" s="64">
        <v>22864548</v>
      </c>
      <c r="AM91" s="64"/>
    </row>
    <row r="92" spans="1:74" ht="18" customHeight="1">
      <c r="A92" s="83" t="s">
        <v>291</v>
      </c>
      <c r="B92" s="82" t="s">
        <v>292</v>
      </c>
      <c r="C92" s="82" t="s">
        <v>279</v>
      </c>
      <c r="D92" s="82" t="s">
        <v>275</v>
      </c>
      <c r="E92" s="65" t="str">
        <f>HYPERLINK("https://ictv.global/taxonomy/taxondetails?taxnode_id=202314215", "202314215")</f>
        <v>202314215</v>
      </c>
      <c r="F92" s="83">
        <v>1</v>
      </c>
      <c r="G92" s="3" t="s">
        <v>774</v>
      </c>
      <c r="H92" s="68" t="s">
        <v>869</v>
      </c>
      <c r="I92" s="84">
        <v>2021</v>
      </c>
      <c r="J92" s="72" t="s">
        <v>87</v>
      </c>
      <c r="K92" s="85" t="s">
        <v>754</v>
      </c>
      <c r="L92" s="75">
        <v>43.071240000000003</v>
      </c>
      <c r="M92" s="75">
        <v>141.33466000000001</v>
      </c>
      <c r="N92" s="66" t="str">
        <f>HYPERLINK("https://pubmed.ncbi.nlm.nih.gov/34545081/", "34545081")</f>
        <v>34545081</v>
      </c>
      <c r="O92" s="58">
        <v>2</v>
      </c>
      <c r="P92" s="54" t="str">
        <f>HYPERLINK("https://pubmed.ncbi.nlm.nih.gov/34545081/", "34545081")</f>
        <v>34545081</v>
      </c>
      <c r="Q92" s="54" t="str">
        <f>HYPERLINK("https://pubmed.ncbi.nlm.nih.gov/38580070/", "38580070")</f>
        <v>38580070</v>
      </c>
      <c r="R92" s="54"/>
      <c r="S92" s="7">
        <v>1</v>
      </c>
      <c r="T92" s="77" t="s">
        <v>276</v>
      </c>
      <c r="U92" s="30" t="str">
        <f>HYPERLINK("https://pubmed.ncbi.nlm.nih.gov/34545081/", "34545081")</f>
        <v>34545081</v>
      </c>
      <c r="V92" s="30"/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30" t="str">
        <f>HYPERLINK("https://pubmed.ncbi.nlm.nih.gov/34545081/", "34545081")</f>
        <v>34545081</v>
      </c>
      <c r="AF92" s="30" t="str">
        <f>HYPERLINK("https://pubmed.ncbi.nlm.nih.gov/38462519/", "38462519")</f>
        <v>38462519</v>
      </c>
      <c r="AG92" s="61">
        <v>0</v>
      </c>
      <c r="AH92" s="61">
        <v>0</v>
      </c>
      <c r="AI92" s="61">
        <v>1</v>
      </c>
      <c r="AJ92" s="61">
        <v>0</v>
      </c>
      <c r="AK92" s="61">
        <v>0</v>
      </c>
      <c r="AL92" s="64" t="str">
        <f>HYPERLINK("https://pubmed.ncbi.nlm.nih.gov/34545081/", "34545081")</f>
        <v>34545081</v>
      </c>
      <c r="AM92" s="64"/>
    </row>
    <row r="93" spans="1:74" ht="18" customHeight="1">
      <c r="A93" s="86" t="s">
        <v>678</v>
      </c>
      <c r="B93" s="82" t="s">
        <v>293</v>
      </c>
      <c r="C93" s="81" t="s">
        <v>294</v>
      </c>
      <c r="D93" s="82" t="s">
        <v>295</v>
      </c>
      <c r="E93" s="65" t="str">
        <f>HYPERLINK("https://ictv.global/taxonomy/taxondetails?taxnode_id=202303956","202303956")</f>
        <v>202303956</v>
      </c>
      <c r="F93" s="83">
        <v>1</v>
      </c>
      <c r="G93" s="3" t="s">
        <v>774</v>
      </c>
      <c r="H93" s="68"/>
      <c r="I93" s="84">
        <v>1933</v>
      </c>
      <c r="J93" s="85" t="s">
        <v>61</v>
      </c>
      <c r="K93" s="85" t="s">
        <v>753</v>
      </c>
      <c r="L93" s="76">
        <v>51.617289</v>
      </c>
      <c r="M93" s="76">
        <v>-0.221389</v>
      </c>
      <c r="N93" s="66" t="str">
        <f>HYPERLINK("http://www.sciencedirect.com/science/article/pii/S0140673600785412", "Direct link")</f>
        <v>Direct link</v>
      </c>
      <c r="O93" s="28" t="s">
        <v>81</v>
      </c>
      <c r="P93" s="54">
        <v>19433588</v>
      </c>
      <c r="Q93" s="54">
        <v>19782482</v>
      </c>
      <c r="R93" s="54"/>
      <c r="S93" s="7">
        <v>0</v>
      </c>
      <c r="T93" s="77"/>
      <c r="U93" s="53"/>
      <c r="V93" s="53"/>
      <c r="W93" s="7">
        <v>1</v>
      </c>
      <c r="X93" s="7">
        <v>0</v>
      </c>
      <c r="Y93" s="7">
        <v>0</v>
      </c>
      <c r="Z93" s="7">
        <v>0</v>
      </c>
      <c r="AA93" s="7">
        <v>1</v>
      </c>
      <c r="AB93" s="7">
        <v>0</v>
      </c>
      <c r="AC93" s="7">
        <v>0</v>
      </c>
      <c r="AD93" s="7">
        <v>1</v>
      </c>
      <c r="AE93" s="30">
        <v>23746799</v>
      </c>
      <c r="AF93" s="30">
        <v>28302313</v>
      </c>
      <c r="AG93" s="61">
        <v>0</v>
      </c>
      <c r="AH93" s="61">
        <v>1</v>
      </c>
      <c r="AI93" s="61">
        <v>1</v>
      </c>
      <c r="AJ93" s="61">
        <v>1</v>
      </c>
      <c r="AK93" s="61">
        <v>0</v>
      </c>
      <c r="AL93" s="64" t="str">
        <f>HYPERLINK("https://pubmed.ncbi.nlm.nih.gov/23017256/", "23017256")</f>
        <v>23017256</v>
      </c>
      <c r="AM93" s="64">
        <v>22371588</v>
      </c>
    </row>
    <row r="94" spans="1:74" ht="18" customHeight="1">
      <c r="A94" s="86" t="s">
        <v>679</v>
      </c>
      <c r="B94" s="82" t="s">
        <v>296</v>
      </c>
      <c r="C94" s="81" t="s">
        <v>297</v>
      </c>
      <c r="D94" s="82" t="s">
        <v>295</v>
      </c>
      <c r="E94" s="65" t="str">
        <f>HYPERLINK("https://ictv.global/taxonomy/taxondetails?taxnode_id=202303958","202303958")</f>
        <v>202303958</v>
      </c>
      <c r="F94" s="83">
        <v>1</v>
      </c>
      <c r="G94" s="3" t="s">
        <v>774</v>
      </c>
      <c r="H94" s="68" t="s">
        <v>870</v>
      </c>
      <c r="I94" s="84">
        <v>1940</v>
      </c>
      <c r="J94" s="85" t="s">
        <v>29</v>
      </c>
      <c r="K94" s="85" t="s">
        <v>755</v>
      </c>
      <c r="L94" s="76">
        <v>41.033957999999998</v>
      </c>
      <c r="M94" s="76">
        <v>-73.865430000000003</v>
      </c>
      <c r="N94" s="66" t="str">
        <f>HYPERLINK("http://journals.sagepub.com/doi/abs/10.3181/00379727-45-11862P", "Direct link")</f>
        <v>Direct link</v>
      </c>
      <c r="O94" s="28" t="s">
        <v>81</v>
      </c>
      <c r="P94" s="54" t="str">
        <f>HYPERLINK("https://www.ncbi.nlm.nih.gov/pubmed/7352453", "7352453")</f>
        <v>7352453</v>
      </c>
      <c r="Q94" s="54"/>
      <c r="R94" s="54"/>
      <c r="S94" s="7">
        <v>0</v>
      </c>
      <c r="T94" s="77"/>
      <c r="U94" s="53"/>
      <c r="V94" s="53"/>
      <c r="W94" s="7">
        <v>1</v>
      </c>
      <c r="X94" s="7">
        <v>0</v>
      </c>
      <c r="Y94" s="7">
        <v>0</v>
      </c>
      <c r="Z94" s="7">
        <v>0</v>
      </c>
      <c r="AA94" s="7">
        <v>1</v>
      </c>
      <c r="AB94" s="7">
        <v>0</v>
      </c>
      <c r="AC94" s="7">
        <v>0</v>
      </c>
      <c r="AD94" s="7">
        <v>1</v>
      </c>
      <c r="AE94" s="30">
        <v>25268241</v>
      </c>
      <c r="AF94" s="30">
        <v>28302313</v>
      </c>
      <c r="AG94" s="61">
        <v>0</v>
      </c>
      <c r="AH94" s="61">
        <v>0</v>
      </c>
      <c r="AI94" s="61">
        <v>1</v>
      </c>
      <c r="AJ94" s="61">
        <v>0</v>
      </c>
      <c r="AK94" s="61">
        <v>0</v>
      </c>
      <c r="AL94" s="64">
        <v>25673727</v>
      </c>
      <c r="AM94" s="64">
        <v>22710350</v>
      </c>
    </row>
    <row r="95" spans="1:74" ht="18" customHeight="1">
      <c r="A95" s="86" t="s">
        <v>680</v>
      </c>
      <c r="B95" s="82" t="s">
        <v>298</v>
      </c>
      <c r="C95" s="81" t="s">
        <v>299</v>
      </c>
      <c r="D95" s="82" t="s">
        <v>295</v>
      </c>
      <c r="E95" s="65" t="str">
        <f>HYPERLINK("https://ictv.global/taxonomy/taxondetails?taxnode_id=202303960","202303960")</f>
        <v>202303960</v>
      </c>
      <c r="F95" s="83">
        <v>1</v>
      </c>
      <c r="G95" s="3" t="s">
        <v>774</v>
      </c>
      <c r="H95" s="68"/>
      <c r="I95" s="84">
        <v>1950</v>
      </c>
      <c r="J95" s="85" t="s">
        <v>29</v>
      </c>
      <c r="K95" s="85" t="s">
        <v>755</v>
      </c>
      <c r="L95" s="76">
        <v>42.280825999999998</v>
      </c>
      <c r="M95" s="76">
        <v>-83.743037999999999</v>
      </c>
      <c r="N95" s="66" t="str">
        <f>HYPERLINK("https://www.ncbi.nlm.nih.gov/pubmed/14787444", "14787444")</f>
        <v>14787444</v>
      </c>
      <c r="O95" s="28" t="s">
        <v>81</v>
      </c>
      <c r="P95" s="54" t="str">
        <f>HYPERLINK("https://www.ncbi.nlm.nih.gov/pubmed/17215347", "17215347")</f>
        <v>17215347</v>
      </c>
      <c r="Q95" s="54"/>
      <c r="R95" s="54"/>
      <c r="S95" s="7">
        <v>0</v>
      </c>
      <c r="T95" s="77"/>
      <c r="U95" s="53"/>
      <c r="V95" s="53"/>
      <c r="W95" s="7">
        <v>1</v>
      </c>
      <c r="X95" s="7">
        <v>0</v>
      </c>
      <c r="Y95" s="7">
        <v>0</v>
      </c>
      <c r="Z95" s="7">
        <v>0</v>
      </c>
      <c r="AA95" s="7">
        <v>1</v>
      </c>
      <c r="AB95" s="7">
        <v>0</v>
      </c>
      <c r="AC95" s="7">
        <v>0</v>
      </c>
      <c r="AD95" s="7">
        <v>1</v>
      </c>
      <c r="AE95" s="30">
        <v>23408893</v>
      </c>
      <c r="AF95" s="30">
        <v>28302313</v>
      </c>
      <c r="AG95" s="61">
        <v>0</v>
      </c>
      <c r="AH95" s="61">
        <v>0</v>
      </c>
      <c r="AI95" s="61">
        <v>1</v>
      </c>
      <c r="AJ95" s="61">
        <v>0</v>
      </c>
      <c r="AK95" s="61">
        <v>0</v>
      </c>
      <c r="AL95" s="64">
        <v>9140195</v>
      </c>
      <c r="AM95" s="64">
        <v>1325663</v>
      </c>
    </row>
    <row r="96" spans="1:74" ht="18" customHeight="1">
      <c r="A96" s="83" t="s">
        <v>300</v>
      </c>
      <c r="B96" s="82" t="s">
        <v>301</v>
      </c>
      <c r="C96" s="82" t="s">
        <v>302</v>
      </c>
      <c r="D96" s="82" t="s">
        <v>295</v>
      </c>
      <c r="E96" s="65" t="str">
        <f>HYPERLINK("https://ictv.global/taxonomy/taxondetails?taxnode_id=202312930", "202312930")</f>
        <v>202312930</v>
      </c>
      <c r="F96" s="83">
        <v>1</v>
      </c>
      <c r="G96" s="3" t="s">
        <v>774</v>
      </c>
      <c r="H96" s="68"/>
      <c r="I96" s="84">
        <v>2015</v>
      </c>
      <c r="J96" s="85" t="s">
        <v>29</v>
      </c>
      <c r="K96" s="85" t="s">
        <v>755</v>
      </c>
      <c r="L96" s="75">
        <v>37.855229999999999</v>
      </c>
      <c r="M96" s="75">
        <v>-94.849299999999999</v>
      </c>
      <c r="N96" s="66" t="str">
        <f>HYPERLINK("https://pubmed.ncbi.nlm.nih.gov/25899080/", "25899080")</f>
        <v>25899080</v>
      </c>
      <c r="O96" s="58">
        <v>2</v>
      </c>
      <c r="P96" s="54" t="str">
        <f>HYPERLINK("https://pubmed.ncbi.nlm.nih.gov/36573641/", "36573641")</f>
        <v>36573641</v>
      </c>
      <c r="Q96" s="54"/>
      <c r="R96" s="54"/>
      <c r="S96" s="7">
        <v>1</v>
      </c>
      <c r="T96" s="77" t="s">
        <v>276</v>
      </c>
      <c r="U96" s="30" t="str">
        <f>HYPERLINK("https://pubmed.ncbi.nlm.nih.gov/36573641/", "36573641")</f>
        <v>36573641</v>
      </c>
      <c r="V96" s="30" t="str">
        <f>HYPERLINK("https://pubmed.ncbi.nlm.nih.gov/34471586/", "34471586")</f>
        <v>34471586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30" t="str">
        <f>HYPERLINK("https://pubmed.ncbi.nlm.nih.gov/36573641/", "36573641")</f>
        <v>36573641</v>
      </c>
      <c r="AF96" s="30"/>
      <c r="AG96" s="61">
        <v>0</v>
      </c>
      <c r="AH96" s="61">
        <v>0</v>
      </c>
      <c r="AI96" s="61">
        <v>1</v>
      </c>
      <c r="AJ96" s="61">
        <v>0</v>
      </c>
      <c r="AK96" s="61">
        <v>0</v>
      </c>
      <c r="AL96" s="64" t="str">
        <f>HYPERLINK("https://pubmed.ncbi.nlm.nih.gov/36573641/", "36573641")</f>
        <v>36573641</v>
      </c>
      <c r="AM96" s="64" t="str">
        <f>HYPERLINK("https://pubmed.ncbi.nlm.nih.gov/31441752/", "31441752")</f>
        <v>31441752</v>
      </c>
    </row>
    <row r="97" spans="1:39" ht="18" customHeight="1">
      <c r="A97" s="80" t="s">
        <v>303</v>
      </c>
      <c r="B97" s="81" t="s">
        <v>304</v>
      </c>
      <c r="C97" s="82" t="s">
        <v>302</v>
      </c>
      <c r="D97" s="82" t="s">
        <v>295</v>
      </c>
      <c r="E97" s="65" t="str">
        <f>HYPERLINK("https://ictv.global/taxonomy/taxondetails?taxnode_id=202303969","202303969")</f>
        <v>202303969</v>
      </c>
      <c r="F97" s="83">
        <v>1</v>
      </c>
      <c r="G97" s="3" t="s">
        <v>774</v>
      </c>
      <c r="H97" s="68"/>
      <c r="I97" s="84">
        <v>1985</v>
      </c>
      <c r="J97" s="85" t="s">
        <v>306</v>
      </c>
      <c r="K97" s="85" t="s">
        <v>753</v>
      </c>
      <c r="L97" s="76">
        <v>39.399872000000002</v>
      </c>
      <c r="M97" s="76">
        <v>-8.2244539999999997</v>
      </c>
      <c r="N97" s="66" t="str">
        <f>HYPERLINK("https://www.ncbi.nlm.nih.gov/pubmed/2864836", "2864836")</f>
        <v>2864836</v>
      </c>
      <c r="O97" s="28">
        <v>2</v>
      </c>
      <c r="P97" s="54">
        <v>22526290</v>
      </c>
      <c r="Q97" s="54" t="str">
        <f>HYPERLINK("https://pubmed.ncbi.nlm.nih.gov/32230796/", "32230796")</f>
        <v>32230796</v>
      </c>
      <c r="R97" s="54"/>
      <c r="S97" s="7">
        <v>1</v>
      </c>
      <c r="T97" s="77" t="s">
        <v>163</v>
      </c>
      <c r="U97" s="30">
        <v>22526290</v>
      </c>
      <c r="V97" s="53"/>
      <c r="W97" s="7">
        <v>1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30" t="s">
        <v>305</v>
      </c>
      <c r="AF97" s="30" t="str">
        <f>HYPERLINK("https://pubmed.ncbi.nlm.nih.gov/35019718/", "35019718")</f>
        <v>35019718</v>
      </c>
      <c r="AG97" s="61">
        <v>0</v>
      </c>
      <c r="AH97" s="61">
        <v>0</v>
      </c>
      <c r="AI97" s="61">
        <v>1</v>
      </c>
      <c r="AJ97" s="61">
        <v>0</v>
      </c>
      <c r="AK97" s="61">
        <v>0</v>
      </c>
      <c r="AL97" s="64">
        <v>22526290</v>
      </c>
      <c r="AM97" s="64"/>
    </row>
    <row r="98" spans="1:39" ht="18" customHeight="1">
      <c r="A98" s="80" t="s">
        <v>307</v>
      </c>
      <c r="B98" s="81" t="s">
        <v>308</v>
      </c>
      <c r="C98" s="82" t="s">
        <v>302</v>
      </c>
      <c r="D98" s="82" t="s">
        <v>295</v>
      </c>
      <c r="E98" s="65" t="str">
        <f>HYPERLINK("https://ictv.global/taxonomy/taxondetails?taxnode_id=202303970","202303970")</f>
        <v>202303970</v>
      </c>
      <c r="F98" s="83">
        <v>1</v>
      </c>
      <c r="G98" s="3" t="s">
        <v>774</v>
      </c>
      <c r="H98" s="68"/>
      <c r="I98" s="84">
        <v>1969</v>
      </c>
      <c r="J98" s="85" t="s">
        <v>43</v>
      </c>
      <c r="K98" s="85" t="s">
        <v>757</v>
      </c>
      <c r="L98" s="76">
        <v>7.3487200000000001</v>
      </c>
      <c r="M98" s="76">
        <v>3.8792900000000001</v>
      </c>
      <c r="N98" s="66" t="str">
        <f>HYPERLINK("https://www.ncbi.nlm.nih.gov/pubmed/5409104", "5409104")</f>
        <v>5409104</v>
      </c>
      <c r="O98" s="28">
        <v>2</v>
      </c>
      <c r="P98" s="54">
        <v>22526290</v>
      </c>
      <c r="Q98" s="54" t="str">
        <f>HYPERLINK("https://pubmed.ncbi.nlm.nih.gov/32230796/", "32230796")</f>
        <v>32230796</v>
      </c>
      <c r="R98" s="54"/>
      <c r="S98" s="7">
        <v>1</v>
      </c>
      <c r="T98" s="77" t="s">
        <v>163</v>
      </c>
      <c r="U98" s="30">
        <v>22526290</v>
      </c>
      <c r="V98" s="53"/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30" t="s">
        <v>305</v>
      </c>
      <c r="AF98" s="30"/>
      <c r="AG98" s="61">
        <v>0</v>
      </c>
      <c r="AH98" s="61">
        <v>0</v>
      </c>
      <c r="AI98" s="61">
        <v>1</v>
      </c>
      <c r="AJ98" s="61">
        <v>0</v>
      </c>
      <c r="AK98" s="61">
        <v>0</v>
      </c>
      <c r="AL98" s="64">
        <v>22526290</v>
      </c>
      <c r="AM98" s="64"/>
    </row>
    <row r="99" spans="1:39" ht="18" customHeight="1">
      <c r="A99" s="86" t="s">
        <v>342</v>
      </c>
      <c r="B99" s="87" t="s">
        <v>343</v>
      </c>
      <c r="C99" s="82" t="s">
        <v>311</v>
      </c>
      <c r="D99" s="82" t="s">
        <v>312</v>
      </c>
      <c r="E99" s="65" t="str">
        <f>HYPERLINK("https://ictv.global/taxonomy/taxondetails?taxnode_id=202301609","202301609")</f>
        <v>202301609</v>
      </c>
      <c r="F99" s="83">
        <v>1</v>
      </c>
      <c r="G99" s="3" t="s">
        <v>774</v>
      </c>
      <c r="H99" s="68" t="s">
        <v>885</v>
      </c>
      <c r="I99" s="84">
        <v>1995</v>
      </c>
      <c r="J99" s="85" t="s">
        <v>161</v>
      </c>
      <c r="K99" s="85" t="s">
        <v>752</v>
      </c>
      <c r="L99" s="76">
        <v>-27.417999999999999</v>
      </c>
      <c r="M99" s="76">
        <v>153.071</v>
      </c>
      <c r="N99" s="66" t="str">
        <f>HYPERLINK("https://www.ncbi.nlm.nih.gov/pubmed/9815409", "9815409")</f>
        <v>9815409</v>
      </c>
      <c r="O99" s="28">
        <v>2</v>
      </c>
      <c r="P99" s="54">
        <v>20113550</v>
      </c>
      <c r="Q99" s="54" t="str">
        <f>HYPERLINK("https://pubmed.ncbi.nlm.nih.gov/37925626/", "37925626")</f>
        <v>37925626</v>
      </c>
      <c r="R99" s="54"/>
      <c r="S99" s="7">
        <v>0</v>
      </c>
      <c r="T99" s="77"/>
      <c r="U99" s="53"/>
      <c r="V99" s="53"/>
      <c r="W99" s="7" t="s">
        <v>17</v>
      </c>
      <c r="X99" s="7" t="s">
        <v>17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 t="s">
        <v>17</v>
      </c>
      <c r="AE99" s="30" t="str">
        <f>HYPERLINK("https://pubmed.ncbi.nlm.nih.gov/37925626/", "37925626")</f>
        <v>37925626</v>
      </c>
      <c r="AF99" s="30" t="str">
        <f>HYPERLINK("https://pubmed.ncbi.nlm.nih.gov/38640700/", "38640700")</f>
        <v>38640700</v>
      </c>
      <c r="AG99" s="61">
        <v>0</v>
      </c>
      <c r="AH99" s="61">
        <v>1</v>
      </c>
      <c r="AI99" s="61">
        <v>1</v>
      </c>
      <c r="AJ99" s="61">
        <v>1</v>
      </c>
      <c r="AK99" s="61">
        <v>0</v>
      </c>
      <c r="AL99" s="64">
        <v>23302882</v>
      </c>
      <c r="AM99" s="64" t="str">
        <f>HYPERLINK("https://pubmed.ncbi.nlm.nih.gov/38640700/", "38640700")</f>
        <v>38640700</v>
      </c>
    </row>
    <row r="100" spans="1:39" ht="18" customHeight="1">
      <c r="A100" s="86" t="s">
        <v>309</v>
      </c>
      <c r="B100" s="87" t="s">
        <v>310</v>
      </c>
      <c r="C100" s="82" t="s">
        <v>311</v>
      </c>
      <c r="D100" s="82" t="s">
        <v>312</v>
      </c>
      <c r="E100" s="65" t="str">
        <f>HYPERLINK("https://ictv.global/taxonomy/taxondetails?taxnode_id=202301611","202301611")</f>
        <v>202301611</v>
      </c>
      <c r="F100" s="83">
        <v>1</v>
      </c>
      <c r="G100" s="3" t="s">
        <v>774</v>
      </c>
      <c r="H100" s="68" t="s">
        <v>871</v>
      </c>
      <c r="I100" s="84">
        <v>1999</v>
      </c>
      <c r="J100" s="85" t="s">
        <v>313</v>
      </c>
      <c r="K100" s="85" t="s">
        <v>754</v>
      </c>
      <c r="L100" s="76">
        <v>1.3553789999999999</v>
      </c>
      <c r="M100" s="76">
        <v>103.867744</v>
      </c>
      <c r="N100" s="66" t="str">
        <f>HYPERLINK("https://www.ncbi.nlm.nih.gov/pubmed/10482278", "10482278")</f>
        <v>10482278</v>
      </c>
      <c r="O100" s="28">
        <v>3</v>
      </c>
      <c r="P100" s="54">
        <v>20380769</v>
      </c>
      <c r="Q100" s="54" t="str">
        <f>HYPERLINK("https://pubmed.ncbi.nlm.nih.gov/37925626/", "37925626")</f>
        <v>37925626</v>
      </c>
      <c r="R100" s="54"/>
      <c r="S100" s="7">
        <v>0</v>
      </c>
      <c r="T100" s="77"/>
      <c r="U100" s="53"/>
      <c r="V100" s="53"/>
      <c r="W100" s="7">
        <v>1</v>
      </c>
      <c r="X100" s="7">
        <v>1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1</v>
      </c>
      <c r="AE100" s="30" t="str">
        <f>HYPERLINK("https://pubmed.ncbi.nlm.nih.gov/38640700/", "38640700")</f>
        <v>38640700</v>
      </c>
      <c r="AF100" s="30" t="str">
        <f>HYPERLINK("https://pubmed.ncbi.nlm.nih.gov/36611767/", "36611767")</f>
        <v>36611767</v>
      </c>
      <c r="AG100" s="61">
        <v>0</v>
      </c>
      <c r="AH100" s="61">
        <v>1</v>
      </c>
      <c r="AI100" s="61">
        <v>1</v>
      </c>
      <c r="AJ100" s="61">
        <v>0</v>
      </c>
      <c r="AK100" s="61">
        <v>0</v>
      </c>
      <c r="AL100" s="64">
        <v>11243752</v>
      </c>
      <c r="AM100" s="64">
        <v>23302882</v>
      </c>
    </row>
    <row r="101" spans="1:39" ht="18" customHeight="1">
      <c r="A101" s="86" t="s">
        <v>681</v>
      </c>
      <c r="B101" s="87" t="s">
        <v>314</v>
      </c>
      <c r="C101" s="91" t="s">
        <v>315</v>
      </c>
      <c r="D101" s="82" t="s">
        <v>312</v>
      </c>
      <c r="E101" s="65" t="str">
        <f>HYPERLINK("https://ictv.global/taxonomy/taxondetails?taxnode_id=202301613","202301613")</f>
        <v>202301613</v>
      </c>
      <c r="F101" s="83">
        <v>1</v>
      </c>
      <c r="G101" s="3" t="s">
        <v>774</v>
      </c>
      <c r="H101" s="68" t="s">
        <v>872</v>
      </c>
      <c r="I101" s="84">
        <v>1955</v>
      </c>
      <c r="J101" s="85" t="s">
        <v>29</v>
      </c>
      <c r="K101" s="85" t="s">
        <v>755</v>
      </c>
      <c r="L101" s="76">
        <v>42.886446999999997</v>
      </c>
      <c r="M101" s="76">
        <v>-78.878369000000006</v>
      </c>
      <c r="N101" s="66" t="str">
        <f>HYPERLINK("https://www.ncbi.nlm.nih.gov/pubmed/13273120", "13273120")</f>
        <v>13273120</v>
      </c>
      <c r="O101" s="28">
        <v>2</v>
      </c>
      <c r="P101" s="54">
        <v>13273120</v>
      </c>
      <c r="Q101" s="54"/>
      <c r="R101" s="54"/>
      <c r="S101" s="7">
        <v>0</v>
      </c>
      <c r="T101" s="77"/>
      <c r="U101" s="53"/>
      <c r="V101" s="53"/>
      <c r="W101" s="7" t="s">
        <v>17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 t="s">
        <v>17</v>
      </c>
      <c r="AE101" s="30" t="str">
        <f>HYPERLINK("https://pubmed.ncbi.nlm.nih.gov/32609600/", "32609600")</f>
        <v>32609600</v>
      </c>
      <c r="AF101" s="30" t="str">
        <f>HYPERLINK("https://pubmed.ncbi.nlm.nih.gov/35038920/", "35038920")</f>
        <v>35038920</v>
      </c>
      <c r="AG101" s="62">
        <v>0</v>
      </c>
      <c r="AH101" s="62">
        <v>1</v>
      </c>
      <c r="AI101" s="61">
        <v>1</v>
      </c>
      <c r="AJ101" s="61">
        <v>0</v>
      </c>
      <c r="AK101" s="61">
        <v>0</v>
      </c>
      <c r="AL101" s="64">
        <v>22214864</v>
      </c>
      <c r="AM101" s="64" t="str">
        <f>HYPERLINK("https://pubmed.ncbi.nlm.nih.gov/32344228/", "32344228")</f>
        <v>32344228</v>
      </c>
    </row>
    <row r="102" spans="1:39" ht="18" customHeight="1">
      <c r="A102" s="86" t="s">
        <v>682</v>
      </c>
      <c r="B102" s="87" t="s">
        <v>316</v>
      </c>
      <c r="C102" s="91" t="s">
        <v>315</v>
      </c>
      <c r="D102" s="82" t="s">
        <v>312</v>
      </c>
      <c r="E102" s="65" t="str">
        <f>HYPERLINK("https://ictv.global/taxonomy/taxondetails?taxnode_id=202301616","202301616")</f>
        <v>202301616</v>
      </c>
      <c r="F102" s="83">
        <v>1</v>
      </c>
      <c r="G102" s="3" t="s">
        <v>774</v>
      </c>
      <c r="H102" s="68" t="s">
        <v>873</v>
      </c>
      <c r="I102" s="84">
        <v>1911</v>
      </c>
      <c r="J102" s="85" t="s">
        <v>29</v>
      </c>
      <c r="K102" s="85" t="s">
        <v>755</v>
      </c>
      <c r="L102" s="76">
        <v>38.907192000000002</v>
      </c>
      <c r="M102" s="76">
        <v>-77.036871000000005</v>
      </c>
      <c r="N102" s="66" t="str">
        <f>HYPERLINK("http://jamanetwork.com/journals/jama/article-abstract/448265", "Direct link")</f>
        <v>Direct link</v>
      </c>
      <c r="O102" s="28" t="s">
        <v>81</v>
      </c>
      <c r="P102" s="54">
        <v>27329182</v>
      </c>
      <c r="Q102" s="54"/>
      <c r="R102" s="54"/>
      <c r="S102" s="7">
        <v>0</v>
      </c>
      <c r="T102" s="77"/>
      <c r="U102" s="53"/>
      <c r="V102" s="53"/>
      <c r="W102" s="7">
        <v>1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1</v>
      </c>
      <c r="AD102" s="7">
        <v>1</v>
      </c>
      <c r="AE102" s="30" t="str">
        <f>HYPERLINK("https://pubmed.ncbi.nlm.nih.gov/36870419/", "36870419")</f>
        <v>36870419</v>
      </c>
      <c r="AF102" s="30" t="str">
        <f>HYPERLINK("https://pubmed.ncbi.nlm.nih.gov/32614433/", "32614433")</f>
        <v>32614433</v>
      </c>
      <c r="AG102" s="61">
        <v>0</v>
      </c>
      <c r="AH102" s="61">
        <v>1</v>
      </c>
      <c r="AI102" s="61">
        <v>1</v>
      </c>
      <c r="AJ102" s="61">
        <v>0</v>
      </c>
      <c r="AK102" s="61">
        <v>0</v>
      </c>
      <c r="AL102" s="64" t="str">
        <f>HYPERLINK("https://pubmed.ncbi.nlm.nih.gov/32344228/", "32344228")</f>
        <v>32344228</v>
      </c>
      <c r="AM102" s="64">
        <v>24501402</v>
      </c>
    </row>
    <row r="103" spans="1:39" ht="18" customHeight="1">
      <c r="A103" s="86" t="s">
        <v>683</v>
      </c>
      <c r="B103" s="87" t="s">
        <v>317</v>
      </c>
      <c r="C103" s="82" t="s">
        <v>318</v>
      </c>
      <c r="D103" s="82" t="s">
        <v>312</v>
      </c>
      <c r="E103" s="65" t="str">
        <f>HYPERLINK("https://ictv.global/taxonomy/taxondetails?taxnode_id=202301591","202301591")</f>
        <v>202301591</v>
      </c>
      <c r="F103" s="83">
        <v>1</v>
      </c>
      <c r="G103" s="3" t="s">
        <v>774</v>
      </c>
      <c r="H103" s="68" t="s">
        <v>874</v>
      </c>
      <c r="I103" s="84">
        <v>1943</v>
      </c>
      <c r="J103" s="85" t="s">
        <v>66</v>
      </c>
      <c r="K103" s="85" t="s">
        <v>752</v>
      </c>
      <c r="L103" s="76">
        <v>-37.797631893541897</v>
      </c>
      <c r="M103" s="76">
        <v>144.95648503788499</v>
      </c>
      <c r="N103" s="66" t="str">
        <f>HYPERLINK("https://onlinelibrary.wiley.com/doi/10.5694/j.1326-5377.1943.tb51217.x?utm_", "Direct link")</f>
        <v>Direct link</v>
      </c>
      <c r="O103" s="28">
        <v>2</v>
      </c>
      <c r="P103" s="54">
        <v>18150790</v>
      </c>
      <c r="Q103" s="54" t="str">
        <f>HYPERLINK("https://pubmed.ncbi.nlm.nih.gov/32411112/", "32411112")</f>
        <v>32411112</v>
      </c>
      <c r="R103" s="54" t="str">
        <f>HYPERLINK("https://pubmed.ncbi.nlm.nih.gov/36001472/", "36001472")</f>
        <v>36001472</v>
      </c>
      <c r="S103" s="7">
        <v>0</v>
      </c>
      <c r="T103" s="77"/>
      <c r="U103" s="53"/>
      <c r="V103" s="53"/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1</v>
      </c>
      <c r="AE103" s="30" t="str">
        <f>HYPERLINK("https://journals.lww.com/aptm/fulltext/2021/14020/genomic_characterization_of_velogenic_avian.3.aspx", "Direct link")</f>
        <v>Direct link</v>
      </c>
      <c r="AF103" s="30" t="str">
        <f>HYPERLINK("https://www.sciencedirect.com/science/article/pii/S2772535922000038", "Direct link")</f>
        <v>Direct link</v>
      </c>
      <c r="AG103" s="61">
        <v>0</v>
      </c>
      <c r="AH103" s="61">
        <v>0</v>
      </c>
      <c r="AI103" s="61">
        <v>1</v>
      </c>
      <c r="AJ103" s="61">
        <v>1</v>
      </c>
      <c r="AK103" s="61">
        <v>0</v>
      </c>
      <c r="AL103" s="64">
        <v>22135263</v>
      </c>
      <c r="AM103" s="64" t="str">
        <f>HYPERLINK("https://pubmed.ncbi.nlm.nih.gov/36649817/", "36649817")</f>
        <v>36649817</v>
      </c>
    </row>
    <row r="104" spans="1:39" ht="18" customHeight="1">
      <c r="A104" s="86" t="s">
        <v>684</v>
      </c>
      <c r="B104" s="87" t="s">
        <v>319</v>
      </c>
      <c r="C104" s="82" t="s">
        <v>320</v>
      </c>
      <c r="D104" s="82" t="s">
        <v>312</v>
      </c>
      <c r="E104" s="65" t="str">
        <f>HYPERLINK("https://ictv.global/taxonomy/taxondetails?taxnode_id=202301631","202301631")</f>
        <v>202301631</v>
      </c>
      <c r="F104" s="83">
        <v>1</v>
      </c>
      <c r="G104" s="3" t="s">
        <v>774</v>
      </c>
      <c r="H104" s="68" t="s">
        <v>875</v>
      </c>
      <c r="I104" s="84">
        <v>1960</v>
      </c>
      <c r="J104" s="85" t="s">
        <v>29</v>
      </c>
      <c r="K104" s="85" t="s">
        <v>755</v>
      </c>
      <c r="L104" s="76">
        <v>38.984651999999997</v>
      </c>
      <c r="M104" s="76">
        <v>-77.094708999999995</v>
      </c>
      <c r="N104" s="66" t="str">
        <f>HYPERLINK("https://www.ncbi.nlm.nih.gov/pubmed/14407482", "14407482")</f>
        <v>14407482</v>
      </c>
      <c r="O104" s="28" t="s">
        <v>60</v>
      </c>
      <c r="P104" s="54">
        <v>16145100</v>
      </c>
      <c r="Q104" s="54"/>
      <c r="R104" s="54"/>
      <c r="S104" s="7">
        <v>0</v>
      </c>
      <c r="T104" s="77"/>
      <c r="U104" s="53"/>
      <c r="V104" s="53"/>
      <c r="W104" s="7">
        <v>1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30">
        <v>19386708</v>
      </c>
      <c r="AF104" s="30" t="s">
        <v>321</v>
      </c>
      <c r="AG104" s="61">
        <v>1</v>
      </c>
      <c r="AH104" s="61">
        <v>0</v>
      </c>
      <c r="AI104" s="61">
        <v>0</v>
      </c>
      <c r="AJ104" s="61">
        <v>0</v>
      </c>
      <c r="AK104" s="61">
        <v>0</v>
      </c>
      <c r="AL104" s="64">
        <v>28095926</v>
      </c>
      <c r="AM104" s="64"/>
    </row>
    <row r="105" spans="1:39" ht="18" customHeight="1">
      <c r="A105" s="86" t="s">
        <v>685</v>
      </c>
      <c r="B105" s="87" t="s">
        <v>322</v>
      </c>
      <c r="C105" s="82" t="s">
        <v>320</v>
      </c>
      <c r="D105" s="82" t="s">
        <v>312</v>
      </c>
      <c r="E105" s="65" t="str">
        <f>HYPERLINK("https://ictv.global/taxonomy/taxondetails?taxnode_id=202301630","202301630")</f>
        <v>202301630</v>
      </c>
      <c r="F105" s="83">
        <v>1</v>
      </c>
      <c r="G105" s="3" t="s">
        <v>774</v>
      </c>
      <c r="H105" s="68" t="s">
        <v>876</v>
      </c>
      <c r="I105" s="84">
        <v>1956</v>
      </c>
      <c r="J105" s="85" t="s">
        <v>29</v>
      </c>
      <c r="K105" s="85" t="s">
        <v>755</v>
      </c>
      <c r="L105" s="76">
        <v>39.103118000000002</v>
      </c>
      <c r="M105" s="76">
        <v>-84.512020000000007</v>
      </c>
      <c r="N105" s="66" t="str">
        <f>HYPERLINK("https://www.ncbi.nlm.nih.gov/pubmed/13367330", "13367330")</f>
        <v>13367330</v>
      </c>
      <c r="O105" s="28" t="s">
        <v>81</v>
      </c>
      <c r="P105" s="54" t="str">
        <f>HYPERLINK("https://www.ncbi.nlm.nih.gov/pubmed/8075269", "8075269")</f>
        <v>8075269</v>
      </c>
      <c r="Q105" s="54"/>
      <c r="R105" s="54"/>
      <c r="S105" s="7">
        <v>0</v>
      </c>
      <c r="T105" s="77"/>
      <c r="U105" s="53"/>
      <c r="V105" s="53"/>
      <c r="W105" s="7">
        <v>1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30">
        <v>19386708</v>
      </c>
      <c r="AF105" s="30" t="s">
        <v>321</v>
      </c>
      <c r="AG105" s="61">
        <v>0</v>
      </c>
      <c r="AH105" s="61">
        <v>1</v>
      </c>
      <c r="AI105" s="61">
        <v>0</v>
      </c>
      <c r="AJ105" s="61">
        <v>0</v>
      </c>
      <c r="AK105" s="61">
        <v>0</v>
      </c>
      <c r="AL105" s="64">
        <v>10769073</v>
      </c>
      <c r="AM105" s="64"/>
    </row>
    <row r="106" spans="1:39" ht="18" customHeight="1">
      <c r="A106" s="86" t="s">
        <v>686</v>
      </c>
      <c r="B106" s="87" t="s">
        <v>323</v>
      </c>
      <c r="C106" s="82" t="s">
        <v>320</v>
      </c>
      <c r="D106" s="82" t="s">
        <v>312</v>
      </c>
      <c r="E106" s="65" t="str">
        <f>HYPERLINK("https://ictv.global/taxonomy/taxondetails?taxnode_id=202301632","202301632")</f>
        <v>202301632</v>
      </c>
      <c r="F106" s="83">
        <v>1</v>
      </c>
      <c r="G106" s="3" t="s">
        <v>774</v>
      </c>
      <c r="H106" s="68" t="s">
        <v>877</v>
      </c>
      <c r="I106" s="84">
        <v>1959</v>
      </c>
      <c r="J106" s="85" t="s">
        <v>29</v>
      </c>
      <c r="K106" s="85" t="s">
        <v>755</v>
      </c>
      <c r="L106" s="76">
        <v>37.424106000000002</v>
      </c>
      <c r="M106" s="76">
        <v>-122.166076</v>
      </c>
      <c r="N106" s="66" t="str">
        <f>HYPERLINK("https://www.ncbi.nlm.nih.gov/pubmed/13631261", "13631261")</f>
        <v>13631261</v>
      </c>
      <c r="O106" s="28">
        <v>2</v>
      </c>
      <c r="P106" s="54" t="str">
        <f>HYPERLINK("https://www.ncbi.nlm.nih.gov/pubmed/6205118", "6205118")</f>
        <v>6205118</v>
      </c>
      <c r="Q106" s="54"/>
      <c r="R106" s="54"/>
      <c r="S106" s="7" t="s">
        <v>745</v>
      </c>
      <c r="T106" s="77" t="s">
        <v>276</v>
      </c>
      <c r="U106" s="30" t="str">
        <f>HYPERLINK("https://pubmed.ncbi.nlm.nih.gov/35964328/", "35964328")</f>
        <v>35964328</v>
      </c>
      <c r="V106" s="53"/>
      <c r="W106" s="7" t="s">
        <v>17</v>
      </c>
      <c r="X106" s="7">
        <v>0</v>
      </c>
      <c r="Y106" s="7">
        <v>0</v>
      </c>
      <c r="Z106" s="7">
        <v>0</v>
      </c>
      <c r="AA106" s="7">
        <v>0</v>
      </c>
      <c r="AB106" s="60">
        <v>0</v>
      </c>
      <c r="AC106" s="60">
        <v>0</v>
      </c>
      <c r="AD106" s="7" t="s">
        <v>17</v>
      </c>
      <c r="AE106" s="30" t="str">
        <f>HYPERLINK("https://pubmed.ncbi.nlm.nih.gov/23185558/", "23185558")</f>
        <v>23185558</v>
      </c>
      <c r="AF106" s="30" t="str">
        <f>HYPERLINK("https://pubmed.ncbi.nlm.nih.gov/4291701/", "4291701")</f>
        <v>4291701</v>
      </c>
      <c r="AG106" s="61">
        <v>0</v>
      </c>
      <c r="AH106" s="61">
        <v>1</v>
      </c>
      <c r="AI106" s="61">
        <v>1</v>
      </c>
      <c r="AJ106" s="61">
        <v>0</v>
      </c>
      <c r="AK106" s="61">
        <v>0</v>
      </c>
      <c r="AL106" s="64">
        <v>15448364</v>
      </c>
      <c r="AM106" s="64">
        <v>26583313</v>
      </c>
    </row>
    <row r="107" spans="1:39" ht="18" customHeight="1">
      <c r="A107" s="80" t="s">
        <v>687</v>
      </c>
      <c r="B107" s="81" t="s">
        <v>324</v>
      </c>
      <c r="C107" s="82" t="s">
        <v>320</v>
      </c>
      <c r="D107" s="82" t="s">
        <v>312</v>
      </c>
      <c r="E107" s="65" t="str">
        <f>HYPERLINK("https://ictv.global/taxonomy/taxondetails?taxnode_id=202301635","202301635")</f>
        <v>202301635</v>
      </c>
      <c r="F107" s="83">
        <v>1</v>
      </c>
      <c r="G107" s="3" t="s">
        <v>774</v>
      </c>
      <c r="H107" s="68" t="s">
        <v>878</v>
      </c>
      <c r="I107" s="84">
        <v>1934</v>
      </c>
      <c r="J107" s="85" t="s">
        <v>29</v>
      </c>
      <c r="K107" s="85" t="s">
        <v>755</v>
      </c>
      <c r="L107" s="76">
        <v>36.162663999999999</v>
      </c>
      <c r="M107" s="76">
        <v>-86.781602000000007</v>
      </c>
      <c r="N107" s="66" t="str">
        <f>HYPERLINK("https://www.ncbi.nlm.nih.gov/pubmed/19870227", "19870227")</f>
        <v>19870227</v>
      </c>
      <c r="O107" s="28" t="s">
        <v>60</v>
      </c>
      <c r="P107" s="54" t="str">
        <f>HYPERLINK("https://www.ncbi.nlm.nih.gov/pubmed/2384142", "2384142")</f>
        <v>2384142</v>
      </c>
      <c r="Q107" s="54" t="str">
        <f>HYPERLINK("https://www.ncbi.nlm.nih.gov/pubmed/22835470", "22835470")</f>
        <v>22835470</v>
      </c>
      <c r="R107" s="54"/>
      <c r="S107" s="7">
        <v>0</v>
      </c>
      <c r="T107" s="77"/>
      <c r="U107" s="53"/>
      <c r="V107" s="53"/>
      <c r="W107" s="7">
        <v>1</v>
      </c>
      <c r="X107" s="7">
        <v>0</v>
      </c>
      <c r="Y107" s="7">
        <v>0</v>
      </c>
      <c r="Z107" s="7">
        <v>0</v>
      </c>
      <c r="AA107" s="7">
        <v>1</v>
      </c>
      <c r="AB107" s="7">
        <v>0</v>
      </c>
      <c r="AC107" s="7">
        <v>0</v>
      </c>
      <c r="AD107" s="7">
        <v>1</v>
      </c>
      <c r="AE107" s="30" t="str">
        <f>HYPERLINK("https://pubmed.ncbi.nlm.nih.gov/32923269/", "32923269")</f>
        <v>32923269</v>
      </c>
      <c r="AF107" s="30" t="str">
        <f>HYPERLINK("https://pubmed.ncbi.nlm.nih.gov/30626055/", "30626055")</f>
        <v>30626055</v>
      </c>
      <c r="AG107" s="61">
        <v>1</v>
      </c>
      <c r="AH107" s="61">
        <v>0</v>
      </c>
      <c r="AI107" s="61">
        <v>0</v>
      </c>
      <c r="AJ107" s="61">
        <v>0</v>
      </c>
      <c r="AK107" s="61">
        <v>0</v>
      </c>
      <c r="AL107" s="64">
        <v>28068914</v>
      </c>
      <c r="AM107" s="64"/>
    </row>
    <row r="108" spans="1:39" ht="18" customHeight="1">
      <c r="A108" s="86" t="s">
        <v>688</v>
      </c>
      <c r="B108" s="87" t="s">
        <v>325</v>
      </c>
      <c r="C108" s="82" t="s">
        <v>320</v>
      </c>
      <c r="D108" s="82" t="s">
        <v>312</v>
      </c>
      <c r="E108" s="65" t="str">
        <f>HYPERLINK("https://ictv.global/taxonomy/taxondetails?taxnode_id=202201637","202201637")</f>
        <v>202201637</v>
      </c>
      <c r="F108" s="83">
        <v>1</v>
      </c>
      <c r="G108" s="3" t="s">
        <v>774</v>
      </c>
      <c r="H108" s="68"/>
      <c r="I108" s="84">
        <v>1968</v>
      </c>
      <c r="J108" s="85" t="s">
        <v>326</v>
      </c>
      <c r="K108" s="85" t="s">
        <v>754</v>
      </c>
      <c r="L108" s="76">
        <v>37.744447000000001</v>
      </c>
      <c r="M108" s="76">
        <v>139.18260100000001</v>
      </c>
      <c r="N108" s="66" t="str">
        <f>HYPERLINK("https://www.jstage.jst.go.jp/article/jsv1958/18/6/18_6_495/_article", "Direct link")</f>
        <v>Direct link</v>
      </c>
      <c r="O108" s="28">
        <v>2</v>
      </c>
      <c r="P108" s="54" t="str">
        <f>HYPERLINK("https://pubmed.ncbi.nlm.nih.gov/2212992/", "2212992")</f>
        <v>2212992</v>
      </c>
      <c r="Q108" s="54"/>
      <c r="R108" s="54"/>
      <c r="S108" s="7">
        <v>0</v>
      </c>
      <c r="T108" s="77"/>
      <c r="U108" s="53"/>
      <c r="V108" s="53"/>
      <c r="W108" s="7" t="s">
        <v>17</v>
      </c>
      <c r="X108" s="7">
        <v>0</v>
      </c>
      <c r="Y108" s="7">
        <v>0</v>
      </c>
      <c r="Z108" s="7">
        <v>0</v>
      </c>
      <c r="AA108" s="7">
        <v>0</v>
      </c>
      <c r="AB108" s="60">
        <v>0</v>
      </c>
      <c r="AC108" s="60">
        <v>0</v>
      </c>
      <c r="AD108" s="7" t="s">
        <v>17</v>
      </c>
      <c r="AE108" s="30">
        <v>2212992</v>
      </c>
      <c r="AF108" s="30" t="str">
        <f>HYPERLINK("https://pubmed.ncbi.nlm.nih.gov/30626055/", "30626055")</f>
        <v>30626055</v>
      </c>
      <c r="AG108" s="61">
        <v>0</v>
      </c>
      <c r="AH108" s="61" t="s">
        <v>17</v>
      </c>
      <c r="AI108" s="61">
        <v>0</v>
      </c>
      <c r="AJ108" s="61">
        <v>0</v>
      </c>
      <c r="AK108" s="61">
        <v>0</v>
      </c>
      <c r="AL108" s="64">
        <v>2212992</v>
      </c>
      <c r="AM108" s="64"/>
    </row>
    <row r="109" spans="1:39" ht="18" customHeight="1">
      <c r="A109" s="83" t="s">
        <v>978</v>
      </c>
      <c r="B109" s="92" t="s">
        <v>647</v>
      </c>
      <c r="C109" s="92" t="s">
        <v>648</v>
      </c>
      <c r="D109" s="82" t="s">
        <v>312</v>
      </c>
      <c r="E109" s="65" t="str">
        <f>HYPERLINK("https://ictv.global/taxonomy/taxondetails?taxnode_id=202318336","202318336")</f>
        <v>202318336</v>
      </c>
      <c r="F109" s="12">
        <v>1</v>
      </c>
      <c r="G109" s="3" t="s">
        <v>774</v>
      </c>
      <c r="H109" s="68" t="s">
        <v>991</v>
      </c>
      <c r="I109" s="84">
        <v>2022</v>
      </c>
      <c r="J109" s="45" t="s">
        <v>108</v>
      </c>
      <c r="K109" s="85" t="s">
        <v>754</v>
      </c>
      <c r="L109" s="75">
        <v>31.042271100000001</v>
      </c>
      <c r="M109" s="75">
        <v>106.96152480000001</v>
      </c>
      <c r="N109" s="66" t="str">
        <f>HYPERLINK("https://www.ncbi.nlm.nih.gov/pubmed/35921459", "35921459")</f>
        <v>35921459</v>
      </c>
      <c r="O109" s="20">
        <v>2</v>
      </c>
      <c r="P109" s="54" t="str">
        <f>HYPERLINK("https://pubmed.ncbi.nlm.nih.gov/38282399/", "38282399")</f>
        <v>38282399</v>
      </c>
      <c r="Q109" s="54"/>
      <c r="R109" s="55"/>
      <c r="S109" s="7">
        <v>0</v>
      </c>
      <c r="T109" s="77"/>
      <c r="U109" s="53"/>
      <c r="V109" s="53"/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 t="s">
        <v>17</v>
      </c>
      <c r="AE109" s="30">
        <v>38640700</v>
      </c>
      <c r="AF109" s="30"/>
      <c r="AG109" s="61">
        <v>0</v>
      </c>
      <c r="AH109" s="61">
        <v>0</v>
      </c>
      <c r="AI109" s="61">
        <v>1</v>
      </c>
      <c r="AJ109" s="61">
        <v>0</v>
      </c>
      <c r="AK109" s="61">
        <v>0</v>
      </c>
      <c r="AL109" s="64">
        <v>38640700</v>
      </c>
      <c r="AM109" s="67"/>
    </row>
    <row r="110" spans="1:39" ht="18" customHeight="1">
      <c r="A110" s="83" t="s">
        <v>327</v>
      </c>
      <c r="B110" s="82" t="s">
        <v>328</v>
      </c>
      <c r="C110" s="82" t="s">
        <v>329</v>
      </c>
      <c r="D110" s="82" t="s">
        <v>312</v>
      </c>
      <c r="E110" s="65" t="str">
        <f>HYPERLINK("https://ictv.global/taxonomy/taxondetails?taxnode_id=202301628", "202301628")</f>
        <v>202301628</v>
      </c>
      <c r="F110" s="83">
        <v>1</v>
      </c>
      <c r="G110" s="3" t="s">
        <v>774</v>
      </c>
      <c r="H110" s="68" t="s">
        <v>879</v>
      </c>
      <c r="I110" s="84">
        <v>2013</v>
      </c>
      <c r="J110" s="72" t="s">
        <v>330</v>
      </c>
      <c r="K110" s="85" t="s">
        <v>757</v>
      </c>
      <c r="L110" s="75">
        <v>6.0471519999999996</v>
      </c>
      <c r="M110" s="75">
        <v>0.36680299999999999</v>
      </c>
      <c r="N110" s="66" t="str">
        <f>HYPERLINK("https://www.ncbi.nlm.nih.gov/pubmed?term=23152534", "23152534")</f>
        <v>23152534</v>
      </c>
      <c r="O110" s="28">
        <v>2</v>
      </c>
      <c r="P110" s="54">
        <v>23152534</v>
      </c>
      <c r="Q110" s="54" t="str">
        <f>HYPERLINK("https://pubmed.ncbi.nlm.nih.gov/30143747/", "30143747")</f>
        <v>30143747</v>
      </c>
      <c r="R110" s="54" t="str">
        <f>HYPERLINK("https://pubmed.ncbi.nlm.nih.gov/33143230/", "33143230")</f>
        <v>33143230</v>
      </c>
      <c r="S110" s="7">
        <v>0</v>
      </c>
      <c r="T110" s="77"/>
      <c r="U110" s="53"/>
      <c r="V110" s="53"/>
      <c r="W110" s="7" t="s">
        <v>17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 t="s">
        <v>17</v>
      </c>
      <c r="AE110" s="30" t="str">
        <f>HYPERLINK("https://www.ncbi.nlm.nih.gov/pubmed?term=23152534", "23152534")</f>
        <v>23152534</v>
      </c>
      <c r="AF110" s="30" t="str">
        <f>HYPERLINK("https://pubmed.ncbi.nlm.nih.gov/33574853/", "33574853")</f>
        <v>33574853</v>
      </c>
      <c r="AG110" s="61">
        <v>0</v>
      </c>
      <c r="AH110" s="61">
        <v>0</v>
      </c>
      <c r="AI110" s="61">
        <v>1</v>
      </c>
      <c r="AJ110" s="61">
        <v>0</v>
      </c>
      <c r="AK110" s="61">
        <v>0</v>
      </c>
      <c r="AL110" s="64" t="str">
        <f>HYPERLINK("https://www.ncbi.nlm.nih.gov/pubmed/30143747", "30143747")</f>
        <v>30143747</v>
      </c>
      <c r="AM110" s="64"/>
    </row>
    <row r="111" spans="1:39" ht="18" customHeight="1">
      <c r="A111" s="83" t="s">
        <v>331</v>
      </c>
      <c r="B111" s="82" t="s">
        <v>332</v>
      </c>
      <c r="C111" s="82" t="s">
        <v>329</v>
      </c>
      <c r="D111" s="82" t="s">
        <v>312</v>
      </c>
      <c r="E111" s="65" t="str">
        <f>HYPERLINK("https://ictv.global/taxonomy/taxondetails?taxnode_id=202301634", "202301634")</f>
        <v>202301634</v>
      </c>
      <c r="F111" s="83">
        <v>1</v>
      </c>
      <c r="G111" s="3" t="s">
        <v>774</v>
      </c>
      <c r="H111" s="68" t="s">
        <v>880</v>
      </c>
      <c r="I111" s="84">
        <v>1998</v>
      </c>
      <c r="J111" s="72" t="s">
        <v>66</v>
      </c>
      <c r="K111" s="85" t="s">
        <v>752</v>
      </c>
      <c r="L111" s="75">
        <v>-31.253218</v>
      </c>
      <c r="M111" s="75">
        <v>146.921099</v>
      </c>
      <c r="N111" s="66" t="str">
        <f>HYPERLINK("https://www.ncbi.nlm.nih.gov/pubmed/9621197","9621197")</f>
        <v>9621197</v>
      </c>
      <c r="O111" s="28">
        <v>2</v>
      </c>
      <c r="P111" s="54">
        <v>9621198</v>
      </c>
      <c r="Q111" s="54">
        <v>9621197</v>
      </c>
      <c r="R111" s="54"/>
      <c r="S111" s="7">
        <v>0</v>
      </c>
      <c r="T111" s="77"/>
      <c r="U111" s="53"/>
      <c r="V111" s="53"/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 t="s">
        <v>17</v>
      </c>
      <c r="AC111" s="7">
        <v>0</v>
      </c>
      <c r="AD111" s="7" t="s">
        <v>17</v>
      </c>
      <c r="AE111" s="30" t="str">
        <f>HYPERLINK("https://pubmed.ncbi.nlm.nih.gov/34586648/", "34586648")</f>
        <v>34586648</v>
      </c>
      <c r="AF111" s="30" t="str">
        <f>HYPERLINK("https://pubmed.ncbi.nlm.nih.gov/33143230/", "33143230")</f>
        <v>33143230</v>
      </c>
      <c r="AG111" s="61">
        <v>0</v>
      </c>
      <c r="AH111" s="61">
        <v>0</v>
      </c>
      <c r="AI111" s="61">
        <v>1</v>
      </c>
      <c r="AJ111" s="61">
        <v>0</v>
      </c>
      <c r="AK111" s="61">
        <v>0</v>
      </c>
      <c r="AL111" s="64" t="str">
        <f>HYPERLINK("https://www.ncbi.nlm.nih.gov/pubmed/9621197","9621197")</f>
        <v>9621197</v>
      </c>
      <c r="AM111" s="64"/>
    </row>
    <row r="112" spans="1:39" ht="18" customHeight="1">
      <c r="A112" s="86" t="s">
        <v>333</v>
      </c>
      <c r="B112" s="81" t="s">
        <v>334</v>
      </c>
      <c r="C112" s="82" t="s">
        <v>329</v>
      </c>
      <c r="D112" s="82" t="s">
        <v>312</v>
      </c>
      <c r="E112" s="65" t="str">
        <f>HYPERLINK("https://ictv.global/taxonomy/taxondetails?taxnode_id=202301638","202301638")</f>
        <v>202301638</v>
      </c>
      <c r="F112" s="83">
        <v>1</v>
      </c>
      <c r="G112" s="3" t="s">
        <v>774</v>
      </c>
      <c r="H112" s="68" t="s">
        <v>881</v>
      </c>
      <c r="I112" s="84">
        <v>2014</v>
      </c>
      <c r="J112" s="72" t="s">
        <v>116</v>
      </c>
      <c r="K112" s="85" t="s">
        <v>757</v>
      </c>
      <c r="L112" s="76">
        <v>3.7558199999999999</v>
      </c>
      <c r="M112" s="76">
        <v>32.819688999999997</v>
      </c>
      <c r="N112" s="66" t="str">
        <f>HYPERLINK("https://www.ncbi.nlm.nih.gov/pubmed/24447466", "24447466")</f>
        <v>24447466</v>
      </c>
      <c r="O112" s="28">
        <v>2</v>
      </c>
      <c r="P112" s="54">
        <v>24447466</v>
      </c>
      <c r="Q112" s="54" t="str">
        <f>HYPERLINK("https://pubmed.ncbi.nlm.nih.gov/36853802/", "36853802")</f>
        <v>36853802</v>
      </c>
      <c r="R112" s="54"/>
      <c r="S112" s="7">
        <v>0</v>
      </c>
      <c r="T112" s="77"/>
      <c r="U112" s="53"/>
      <c r="V112" s="53"/>
      <c r="W112" s="7">
        <v>0</v>
      </c>
      <c r="X112" s="7" t="s">
        <v>17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 t="s">
        <v>17</v>
      </c>
      <c r="AE112" s="30" t="str">
        <f>HYPERLINK("https://pubmed.ncbi.nlm.nih.gov/24447466/", "24447466")</f>
        <v>24447466</v>
      </c>
      <c r="AF112" s="30" t="str">
        <f>HYPERLINK("https://pubmed.ncbi.nlm.nih.gov/32119657/", "32119657")</f>
        <v>32119657</v>
      </c>
      <c r="AG112" s="61">
        <v>0</v>
      </c>
      <c r="AH112" s="61">
        <v>0</v>
      </c>
      <c r="AI112" s="61">
        <v>1</v>
      </c>
      <c r="AJ112" s="61">
        <v>0</v>
      </c>
      <c r="AK112" s="61">
        <v>0</v>
      </c>
      <c r="AL112" s="64">
        <v>24447466</v>
      </c>
      <c r="AM112" s="64"/>
    </row>
    <row r="113" spans="1:39" ht="18" customHeight="1">
      <c r="A113" s="80" t="s">
        <v>335</v>
      </c>
      <c r="B113" s="87" t="s">
        <v>336</v>
      </c>
      <c r="C113" s="82" t="s">
        <v>329</v>
      </c>
      <c r="D113" s="82" t="s">
        <v>312</v>
      </c>
      <c r="E113" s="65" t="str">
        <f>HYPERLINK("https://ictv.global/taxonomy/taxondetails?taxnode_id=202301640","202301640")</f>
        <v>202301640</v>
      </c>
      <c r="F113" s="83">
        <v>1</v>
      </c>
      <c r="G113" s="3" t="s">
        <v>774</v>
      </c>
      <c r="H113" s="68" t="s">
        <v>882</v>
      </c>
      <c r="I113" s="84">
        <v>2007</v>
      </c>
      <c r="J113" s="85" t="s">
        <v>181</v>
      </c>
      <c r="K113" s="85" t="s">
        <v>754</v>
      </c>
      <c r="L113" s="76">
        <v>2.7902490000000002</v>
      </c>
      <c r="M113" s="76">
        <v>104.16984600000001</v>
      </c>
      <c r="N113" s="66" t="str">
        <f>HYPERLINK("https://www.ncbi.nlm.nih.gov/pubmed/17703419", "17703419")</f>
        <v>17703419</v>
      </c>
      <c r="O113" s="28">
        <v>2</v>
      </c>
      <c r="P113" s="54">
        <v>17703419</v>
      </c>
      <c r="Q113" s="54" t="str">
        <f>HYPERLINK("https://pubmed.ncbi.nlm.nih.gov/30688635/", "30688635")</f>
        <v>30688635</v>
      </c>
      <c r="R113" s="54"/>
      <c r="S113" s="7">
        <v>0</v>
      </c>
      <c r="T113" s="77"/>
      <c r="U113" s="53"/>
      <c r="V113" s="53"/>
      <c r="W113" s="7">
        <v>0</v>
      </c>
      <c r="X113" s="7" t="s">
        <v>17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30">
        <v>17703419</v>
      </c>
      <c r="AF113" s="30" t="str">
        <f>HYPERLINK("https://pubmed.ncbi.nlm.nih.gov/30688635/", "30688635")</f>
        <v>30688635</v>
      </c>
      <c r="AG113" s="61">
        <v>0</v>
      </c>
      <c r="AH113" s="61">
        <v>0</v>
      </c>
      <c r="AI113" s="61">
        <v>1</v>
      </c>
      <c r="AJ113" s="61">
        <v>0</v>
      </c>
      <c r="AK113" s="61">
        <v>0</v>
      </c>
      <c r="AL113" s="64">
        <v>17703419</v>
      </c>
      <c r="AM113" s="64"/>
    </row>
    <row r="114" spans="1:39" ht="18" customHeight="1">
      <c r="A114" s="86" t="s">
        <v>689</v>
      </c>
      <c r="B114" s="87" t="s">
        <v>337</v>
      </c>
      <c r="C114" s="82" t="s">
        <v>338</v>
      </c>
      <c r="D114" s="82" t="s">
        <v>312</v>
      </c>
      <c r="E114" s="65" t="str">
        <f>HYPERLINK("https://ictv.global/taxonomy/taxondetails?taxnode_id=202301622","202301622")</f>
        <v>202301622</v>
      </c>
      <c r="F114" s="83">
        <v>1</v>
      </c>
      <c r="G114" s="3" t="s">
        <v>774</v>
      </c>
      <c r="H114" s="68" t="s">
        <v>883</v>
      </c>
      <c r="I114" s="84">
        <v>1958</v>
      </c>
      <c r="J114" s="85" t="s">
        <v>29</v>
      </c>
      <c r="K114" s="85" t="s">
        <v>755</v>
      </c>
      <c r="L114" s="76">
        <v>38.907192000000002</v>
      </c>
      <c r="M114" s="76">
        <v>-77.036871000000005</v>
      </c>
      <c r="N114" s="66" t="str">
        <f>HYPERLINK("https://www.ncbi.nlm.nih.gov/pubmed/13504446", "13504446")</f>
        <v>13504446</v>
      </c>
      <c r="O114" s="28" t="s">
        <v>81</v>
      </c>
      <c r="P114" s="54">
        <v>6304611</v>
      </c>
      <c r="Q114" s="54"/>
      <c r="R114" s="54"/>
      <c r="S114" s="7">
        <v>0</v>
      </c>
      <c r="T114" s="77"/>
      <c r="U114" s="53"/>
      <c r="V114" s="53"/>
      <c r="W114" s="7" t="s">
        <v>17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30" t="s">
        <v>339</v>
      </c>
      <c r="AF114" s="30" t="str">
        <f>HYPERLINK("https://pubmed.ncbi.nlm.nih.gov/33397626/", "33397626")</f>
        <v>33397626</v>
      </c>
      <c r="AG114" s="61">
        <v>0</v>
      </c>
      <c r="AH114" s="61">
        <v>1</v>
      </c>
      <c r="AI114" s="61">
        <v>0</v>
      </c>
      <c r="AJ114" s="61">
        <v>0</v>
      </c>
      <c r="AK114" s="61">
        <v>0</v>
      </c>
      <c r="AL114" s="64">
        <v>26658594</v>
      </c>
      <c r="AM114" s="64"/>
    </row>
    <row r="115" spans="1:39" ht="18" customHeight="1">
      <c r="A115" s="86" t="s">
        <v>690</v>
      </c>
      <c r="B115" s="87" t="s">
        <v>340</v>
      </c>
      <c r="C115" s="82" t="s">
        <v>338</v>
      </c>
      <c r="D115" s="82" t="s">
        <v>312</v>
      </c>
      <c r="E115" s="65" t="str">
        <f>HYPERLINK("https://ictv.global/taxonomy/taxondetails?taxnode_id=202301623","202301623")</f>
        <v>202301623</v>
      </c>
      <c r="F115" s="83">
        <v>1</v>
      </c>
      <c r="G115" s="3" t="s">
        <v>774</v>
      </c>
      <c r="H115" s="68" t="s">
        <v>884</v>
      </c>
      <c r="I115" s="84">
        <v>1958</v>
      </c>
      <c r="J115" s="85" t="s">
        <v>29</v>
      </c>
      <c r="K115" s="85" t="s">
        <v>755</v>
      </c>
      <c r="L115" s="76">
        <v>38.907192000000002</v>
      </c>
      <c r="M115" s="76">
        <v>-77.036871000000005</v>
      </c>
      <c r="N115" s="66" t="str">
        <f>HYPERLINK("https://www.ncbi.nlm.nih.gov/pubmed/13504446", "13504446")</f>
        <v>13504446</v>
      </c>
      <c r="O115" s="28" t="s">
        <v>81</v>
      </c>
      <c r="P115" s="54" t="str">
        <f>HYPERLINK("https://www.ncbi.nlm.nih.gov/pubmed/11598830 ", "11598830")</f>
        <v>11598830</v>
      </c>
      <c r="Q115" s="54" t="str">
        <f>HYPERLINK("https://www.ncbi.nlm.nih.gov/pubmed/16983614", "16983614 ")</f>
        <v xml:space="preserve">16983614 </v>
      </c>
      <c r="R115" s="54"/>
      <c r="S115" s="7">
        <v>0</v>
      </c>
      <c r="T115" s="77"/>
      <c r="U115" s="53"/>
      <c r="V115" s="53"/>
      <c r="W115" s="7">
        <v>1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30" t="s">
        <v>341</v>
      </c>
      <c r="AF115" s="30" t="str">
        <f>HYPERLINK("https://pubmed.ncbi.nlm.nih.gov/35164568/", "35164568")</f>
        <v>35164568</v>
      </c>
      <c r="AG115" s="61">
        <v>0</v>
      </c>
      <c r="AH115" s="61">
        <v>1</v>
      </c>
      <c r="AI115" s="61">
        <v>0</v>
      </c>
      <c r="AJ115" s="61">
        <v>0</v>
      </c>
      <c r="AK115" s="61">
        <v>0</v>
      </c>
      <c r="AL115" s="64">
        <v>21466639</v>
      </c>
      <c r="AM115" s="64"/>
    </row>
    <row r="116" spans="1:39" ht="18" customHeight="1">
      <c r="A116" s="86" t="s">
        <v>344</v>
      </c>
      <c r="B116" s="87" t="s">
        <v>345</v>
      </c>
      <c r="C116" s="82" t="s">
        <v>346</v>
      </c>
      <c r="D116" s="82" t="s">
        <v>347</v>
      </c>
      <c r="E116" s="65" t="str">
        <f>HYPERLINK("https://ictv.global/taxonomy/taxondetails?taxnode_id=202300100","202300100")</f>
        <v>202300100</v>
      </c>
      <c r="F116" s="83">
        <v>1</v>
      </c>
      <c r="G116" s="3" t="s">
        <v>774</v>
      </c>
      <c r="H116" s="68" t="s">
        <v>886</v>
      </c>
      <c r="I116" s="84">
        <v>1946</v>
      </c>
      <c r="J116" s="85" t="s">
        <v>116</v>
      </c>
      <c r="K116" s="85" t="s">
        <v>757</v>
      </c>
      <c r="L116" s="76">
        <v>0.75114899999999996</v>
      </c>
      <c r="M116" s="76">
        <v>30.020295999999998</v>
      </c>
      <c r="N116" s="66" t="str">
        <f>HYPERLINK("https://www.ncbi.nlm.nih.gov/pubmed/21020339", "21020339")</f>
        <v>21020339</v>
      </c>
      <c r="O116" s="28">
        <v>2</v>
      </c>
      <c r="P116" s="54" t="str">
        <f>HYPERLINK("https://www.ncbi.nlm.nih.gov/pubmed/15280501", "15280501")</f>
        <v>15280501</v>
      </c>
      <c r="Q116" s="54"/>
      <c r="R116" s="54"/>
      <c r="S116" s="7">
        <v>1</v>
      </c>
      <c r="T116" s="77" t="s">
        <v>154</v>
      </c>
      <c r="U116" s="30">
        <v>5906542</v>
      </c>
      <c r="V116" s="30"/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30">
        <v>19501478</v>
      </c>
      <c r="AF116" s="30" t="str">
        <f>HYPERLINK("https://pubmed.ncbi.nlm.nih.gov/38510492/", "38510492")</f>
        <v>38510492</v>
      </c>
      <c r="AG116" s="61">
        <v>0</v>
      </c>
      <c r="AH116" s="61">
        <v>1</v>
      </c>
      <c r="AI116" s="61">
        <v>1</v>
      </c>
      <c r="AJ116" s="61">
        <v>1</v>
      </c>
      <c r="AK116" s="61">
        <v>0</v>
      </c>
      <c r="AL116" s="64">
        <v>19501478</v>
      </c>
      <c r="AM116" s="64"/>
    </row>
    <row r="117" spans="1:39" ht="18" customHeight="1">
      <c r="A117" s="86" t="s">
        <v>348</v>
      </c>
      <c r="B117" s="87" t="s">
        <v>349</v>
      </c>
      <c r="C117" s="82" t="s">
        <v>346</v>
      </c>
      <c r="D117" s="82" t="s">
        <v>347</v>
      </c>
      <c r="E117" s="65" t="str">
        <f>HYPERLINK("https://ictv.global/taxonomy/taxondetails?taxnode_id=202300102","202300102")</f>
        <v>202300102</v>
      </c>
      <c r="F117" s="83">
        <v>1</v>
      </c>
      <c r="G117" s="3" t="s">
        <v>774</v>
      </c>
      <c r="H117" s="68"/>
      <c r="I117" s="84">
        <v>1941</v>
      </c>
      <c r="J117" s="85" t="s">
        <v>116</v>
      </c>
      <c r="K117" s="85" t="s">
        <v>757</v>
      </c>
      <c r="L117" s="76">
        <v>0.75114899999999996</v>
      </c>
      <c r="M117" s="76">
        <v>30.020295999999998</v>
      </c>
      <c r="N117" s="66" t="str">
        <f>HYPERLINK("http://www.ajtmh.org/content/journals/10.4269/ajtmh.1941.s1-21.75", "Direct link")</f>
        <v>Direct link</v>
      </c>
      <c r="O117" s="28">
        <v>2</v>
      </c>
      <c r="P117" s="54" t="str">
        <f>HYPERLINK("https://pubmed.ncbi.nlm.nih.gov/38082563/", "38082563")</f>
        <v>38082563</v>
      </c>
      <c r="Q117" s="54" t="str">
        <f>HYPERLINK("https://www.ncbi.nlm.nih.gov/pubmed/12789111", "12789111")</f>
        <v>12789111</v>
      </c>
      <c r="R117" s="54"/>
      <c r="S117" s="7">
        <v>1</v>
      </c>
      <c r="T117" s="77" t="s">
        <v>154</v>
      </c>
      <c r="U117" s="30">
        <v>28377</v>
      </c>
      <c r="V117" s="30">
        <v>2141559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30">
        <v>12789111</v>
      </c>
      <c r="AF117" s="30"/>
      <c r="AG117" s="61">
        <v>0</v>
      </c>
      <c r="AH117" s="61">
        <v>0</v>
      </c>
      <c r="AI117" s="61">
        <v>1</v>
      </c>
      <c r="AJ117" s="61">
        <v>0</v>
      </c>
      <c r="AK117" s="61">
        <v>0</v>
      </c>
      <c r="AL117" s="64">
        <v>12789111</v>
      </c>
      <c r="AM117" s="64"/>
    </row>
    <row r="118" spans="1:39" ht="18" customHeight="1">
      <c r="A118" s="83" t="s">
        <v>350</v>
      </c>
      <c r="B118" s="8" t="s">
        <v>351</v>
      </c>
      <c r="C118" s="82" t="s">
        <v>346</v>
      </c>
      <c r="D118" s="82" t="s">
        <v>347</v>
      </c>
      <c r="E118" s="65" t="str">
        <f>HYPERLINK("https://ictv.global/taxonomy/taxondetails?taxnode_id=202306358", "202306358")</f>
        <v>202306358</v>
      </c>
      <c r="F118" s="83">
        <v>1</v>
      </c>
      <c r="G118" s="3" t="s">
        <v>774</v>
      </c>
      <c r="H118" s="68" t="s">
        <v>887</v>
      </c>
      <c r="I118" s="84">
        <v>1997</v>
      </c>
      <c r="J118" s="85" t="s">
        <v>29</v>
      </c>
      <c r="K118" s="85" t="s">
        <v>755</v>
      </c>
      <c r="L118" s="75">
        <v>36.006819999999998</v>
      </c>
      <c r="M118" s="75">
        <v>-78.9375</v>
      </c>
      <c r="N118" s="66" t="str">
        <f>HYPERLINK("https://pubmed.ncbi.nlm.nih.gov/9023091/", "9023091")</f>
        <v>9023091</v>
      </c>
      <c r="O118" s="58">
        <v>2</v>
      </c>
      <c r="P118" s="54" t="str">
        <f>HYPERLINK("https://www.cdc.gov/cache-valley/php/transmission/?CDC_AAref_Val=https://www.cdc.gov/cache-valley/transmission/index.html", "Direct link")</f>
        <v>Direct link</v>
      </c>
      <c r="Q118" s="54" t="str">
        <f>HYPERLINK("https://pubmed.ncbi.nlm.nih.gov/35883256/", "35883256")</f>
        <v>35883256</v>
      </c>
      <c r="R118" s="54" t="str">
        <f>HYPERLINK("https://pubmed.ncbi.nlm.nih.gov/34353229/", "34353229")</f>
        <v>34353229</v>
      </c>
      <c r="S118" s="7">
        <v>1</v>
      </c>
      <c r="T118" s="77" t="s">
        <v>142</v>
      </c>
      <c r="U118" s="30" t="str">
        <f>HYPERLINK("https://pubmed.ncbi.nlm.nih.gov/31254324/", "31254324")</f>
        <v>31254324</v>
      </c>
      <c r="V118" s="30" t="str">
        <f>HYPERLINK("https://pubmed.ncbi.nlm.nih.gov/37862064/", "37862064")</f>
        <v>37862064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30" t="str">
        <f>HYPERLINK("https://pubmed.ncbi.nlm.nih.gov/31254324/", "31254324")</f>
        <v>31254324</v>
      </c>
      <c r="AF118" s="30" t="str">
        <f>HYPERLINK("https://www.cdc.gov/cache-valley/php/transmission/?CDC_AAref_Val=https://www.cdc.gov/cache-valley/transmission/index.html", "Direct link")</f>
        <v>Direct link</v>
      </c>
      <c r="AG118" s="61">
        <v>0</v>
      </c>
      <c r="AH118" s="61">
        <v>0</v>
      </c>
      <c r="AI118" s="61">
        <v>1</v>
      </c>
      <c r="AJ118" s="61">
        <v>0</v>
      </c>
      <c r="AK118" s="61">
        <v>0</v>
      </c>
      <c r="AL118" s="64" t="str">
        <f>HYPERLINK("https://pubmed.ncbi.nlm.nih.gov/31254324/", "31254324")</f>
        <v>31254324</v>
      </c>
      <c r="AM118" s="64"/>
    </row>
    <row r="119" spans="1:39" ht="18" customHeight="1">
      <c r="A119" s="86" t="s">
        <v>352</v>
      </c>
      <c r="B119" s="87" t="s">
        <v>353</v>
      </c>
      <c r="C119" s="82" t="s">
        <v>346</v>
      </c>
      <c r="D119" s="82" t="s">
        <v>347</v>
      </c>
      <c r="E119" s="65" t="str">
        <f>HYPERLINK("https://ictv.global/taxonomy/taxondetails?taxnode_id=202300105","202300105")</f>
        <v>202300105</v>
      </c>
      <c r="F119" s="83">
        <v>1</v>
      </c>
      <c r="G119" s="3" t="s">
        <v>774</v>
      </c>
      <c r="H119" s="68" t="s">
        <v>888</v>
      </c>
      <c r="I119" s="84">
        <v>1961</v>
      </c>
      <c r="J119" s="85" t="s">
        <v>19</v>
      </c>
      <c r="K119" s="85" t="s">
        <v>401</v>
      </c>
      <c r="L119" s="76">
        <v>-1.387713</v>
      </c>
      <c r="M119" s="76">
        <v>-48.415641000000001</v>
      </c>
      <c r="N119" s="66" t="str">
        <f>HYPERLINK("https://www.ncbi.nlm.nih.gov/pubmed/13691675", "13691675")</f>
        <v>13691675</v>
      </c>
      <c r="O119" s="28">
        <v>2</v>
      </c>
      <c r="P119" s="54">
        <v>14106040</v>
      </c>
      <c r="Q119" s="54"/>
      <c r="R119" s="54"/>
      <c r="S119" s="7">
        <v>1</v>
      </c>
      <c r="T119" s="77" t="s">
        <v>154</v>
      </c>
      <c r="U119" s="30" t="str">
        <f>HYPERLINK("https://pubmed.ncbi.nlm.nih.gov/3122303/", "3122303")</f>
        <v>3122303</v>
      </c>
      <c r="V119" s="30">
        <v>13691675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30">
        <v>27074162</v>
      </c>
      <c r="AF119" s="30"/>
      <c r="AG119" s="61">
        <v>0</v>
      </c>
      <c r="AH119" s="61">
        <v>1</v>
      </c>
      <c r="AI119" s="61">
        <v>1</v>
      </c>
      <c r="AJ119" s="61">
        <v>0</v>
      </c>
      <c r="AK119" s="61">
        <v>0</v>
      </c>
      <c r="AL119" s="64">
        <v>17705031</v>
      </c>
      <c r="AM119" s="64"/>
    </row>
    <row r="120" spans="1:39" ht="18" customHeight="1">
      <c r="A120" s="86" t="s">
        <v>354</v>
      </c>
      <c r="B120" s="87" t="s">
        <v>355</v>
      </c>
      <c r="C120" s="82" t="s">
        <v>346</v>
      </c>
      <c r="D120" s="82" t="s">
        <v>347</v>
      </c>
      <c r="E120" s="65" t="str">
        <f>HYPERLINK("https://ictv.global/taxonomy/taxondetails?taxnode_id=202300106","202300106")</f>
        <v>202300106</v>
      </c>
      <c r="F120" s="83">
        <v>1</v>
      </c>
      <c r="G120" s="3" t="s">
        <v>774</v>
      </c>
      <c r="H120" s="68"/>
      <c r="I120" s="84">
        <v>1961</v>
      </c>
      <c r="J120" s="85" t="s">
        <v>19</v>
      </c>
      <c r="K120" s="85" t="s">
        <v>401</v>
      </c>
      <c r="L120" s="76">
        <v>-1.387713</v>
      </c>
      <c r="M120" s="76">
        <v>-48.415641000000001</v>
      </c>
      <c r="N120" s="66" t="str">
        <f>HYPERLINK("https://www.ncbi.nlm.nih.gov/pubmed/13691675", "13691675")</f>
        <v>13691675</v>
      </c>
      <c r="O120" s="28">
        <v>2</v>
      </c>
      <c r="P120" s="54" t="str">
        <f>HYPERLINK("https://www.ncbi.nlm.nih.gov/pubmed/13691675", "13691675")</f>
        <v>13691675</v>
      </c>
      <c r="Q120" s="54" t="str">
        <f>HYPERLINK("https://pubmed.ncbi.nlm.nih.gov/35632729/", "35632729")</f>
        <v>35632729</v>
      </c>
      <c r="R120" s="54"/>
      <c r="S120" s="7">
        <v>1</v>
      </c>
      <c r="T120" s="77" t="s">
        <v>154</v>
      </c>
      <c r="U120" s="30" t="str">
        <f>HYPERLINK("https://pubmed.ncbi.nlm.nih.gov/38004319/", "38004319")</f>
        <v>38004319</v>
      </c>
      <c r="V120" s="30"/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30" t="s">
        <v>356</v>
      </c>
      <c r="AF120" s="30"/>
      <c r="AG120" s="61">
        <v>0</v>
      </c>
      <c r="AH120" s="61">
        <v>1</v>
      </c>
      <c r="AI120" s="61">
        <v>1</v>
      </c>
      <c r="AJ120" s="61">
        <v>0</v>
      </c>
      <c r="AK120" s="61">
        <v>0</v>
      </c>
      <c r="AL120" s="64">
        <v>204207</v>
      </c>
      <c r="AM120" s="64"/>
    </row>
    <row r="121" spans="1:39" ht="18" customHeight="1">
      <c r="A121" s="86" t="s">
        <v>357</v>
      </c>
      <c r="B121" s="87" t="s">
        <v>358</v>
      </c>
      <c r="C121" s="82" t="s">
        <v>346</v>
      </c>
      <c r="D121" s="82" t="s">
        <v>347</v>
      </c>
      <c r="E121" s="65" t="str">
        <f>HYPERLINK("https://ictv.global/taxonomy/taxondetails?taxnode_id=202300103", "202300103")</f>
        <v>202300103</v>
      </c>
      <c r="F121" s="83">
        <v>1</v>
      </c>
      <c r="G121" s="3" t="s">
        <v>774</v>
      </c>
      <c r="H121" s="68" t="s">
        <v>889</v>
      </c>
      <c r="I121" s="84">
        <v>1952</v>
      </c>
      <c r="J121" s="85" t="s">
        <v>29</v>
      </c>
      <c r="K121" s="85" t="s">
        <v>755</v>
      </c>
      <c r="L121" s="76">
        <v>35.493727</v>
      </c>
      <c r="M121" s="76">
        <v>-118.85968</v>
      </c>
      <c r="N121" s="66" t="str">
        <f>HYPERLINK("https://www.ncbi.nlm.nih.gov/pubmed/13009479", "13009479")</f>
        <v>13009479</v>
      </c>
      <c r="O121" s="28">
        <v>2</v>
      </c>
      <c r="P121" s="54">
        <v>24427764</v>
      </c>
      <c r="Q121" s="54"/>
      <c r="R121" s="54"/>
      <c r="S121" s="7">
        <v>1</v>
      </c>
      <c r="T121" s="77" t="s">
        <v>154</v>
      </c>
      <c r="U121" s="30">
        <v>4750609</v>
      </c>
      <c r="V121" s="30" t="str">
        <f>HYPERLINK("https://pubmed.ncbi.nlm.nih.gov/31470541/", "31470541")</f>
        <v>31470541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30" t="s">
        <v>359</v>
      </c>
      <c r="AF121" s="30"/>
      <c r="AG121" s="61">
        <v>0</v>
      </c>
      <c r="AH121" s="61">
        <v>0</v>
      </c>
      <c r="AI121" s="61">
        <v>1</v>
      </c>
      <c r="AJ121" s="61">
        <v>0</v>
      </c>
      <c r="AK121" s="61">
        <v>0</v>
      </c>
      <c r="AL121" s="64">
        <v>6126267</v>
      </c>
      <c r="AM121" s="64">
        <v>21435229</v>
      </c>
    </row>
    <row r="122" spans="1:39" ht="18" customHeight="1">
      <c r="A122" s="86" t="s">
        <v>360</v>
      </c>
      <c r="B122" s="87" t="s">
        <v>361</v>
      </c>
      <c r="C122" s="82" t="s">
        <v>346</v>
      </c>
      <c r="D122" s="82" t="s">
        <v>347</v>
      </c>
      <c r="E122" s="65" t="str">
        <f>HYPERLINK("https://ictv.global/taxonomy/taxondetails?taxnode_id=202300110","202300110")</f>
        <v>202300110</v>
      </c>
      <c r="F122" s="83">
        <v>1</v>
      </c>
      <c r="G122" s="3" t="s">
        <v>774</v>
      </c>
      <c r="H122" s="68"/>
      <c r="I122" s="84">
        <v>1961</v>
      </c>
      <c r="J122" s="85" t="s">
        <v>19</v>
      </c>
      <c r="K122" s="85" t="s">
        <v>401</v>
      </c>
      <c r="L122" s="76">
        <v>-1.387713</v>
      </c>
      <c r="M122" s="76">
        <v>-48.415641000000001</v>
      </c>
      <c r="N122" s="66" t="str">
        <f>HYPERLINK("https://www.ncbi.nlm.nih.gov/pubmed/13691675", "13691675")</f>
        <v>13691675</v>
      </c>
      <c r="O122" s="28">
        <v>2</v>
      </c>
      <c r="P122" s="54" t="str">
        <f>HYPERLINK("https://www.ncbi.nlm.nih.gov/pubmed/13691675", "13691675")</f>
        <v>13691675</v>
      </c>
      <c r="Q122" s="54" t="str">
        <f>HYPERLINK("https://pubmed.ncbi.nlm.nih.gov/31326560/", "31326560")</f>
        <v>31326560</v>
      </c>
      <c r="R122" s="54"/>
      <c r="S122" s="7">
        <v>1</v>
      </c>
      <c r="T122" s="77" t="s">
        <v>154</v>
      </c>
      <c r="U122" s="30" t="s">
        <v>362</v>
      </c>
      <c r="V122" s="30" t="str">
        <f>HYPERLINK("https://pubmed.ncbi.nlm.nih.gov/38004319/", "38004319")</f>
        <v>38004319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30">
        <v>234206</v>
      </c>
      <c r="AF122" s="30"/>
      <c r="AG122" s="61">
        <v>0</v>
      </c>
      <c r="AH122" s="61">
        <v>1</v>
      </c>
      <c r="AI122" s="61">
        <v>1</v>
      </c>
      <c r="AJ122" s="61">
        <v>0</v>
      </c>
      <c r="AK122" s="61">
        <v>0</v>
      </c>
      <c r="AL122" s="64">
        <v>204207</v>
      </c>
      <c r="AM122" s="64"/>
    </row>
    <row r="123" spans="1:39" ht="18" customHeight="1">
      <c r="A123" s="86" t="s">
        <v>363</v>
      </c>
      <c r="B123" s="87" t="s">
        <v>364</v>
      </c>
      <c r="C123" s="82" t="s">
        <v>346</v>
      </c>
      <c r="D123" s="82" t="s">
        <v>347</v>
      </c>
      <c r="E123" s="65" t="str">
        <f>HYPERLINK("https://ictv.global/taxonomy/taxondetails?taxnode_id=202300111","202300111")</f>
        <v>202300111</v>
      </c>
      <c r="F123" s="83">
        <v>1</v>
      </c>
      <c r="G123" s="3" t="s">
        <v>774</v>
      </c>
      <c r="H123" s="68" t="s">
        <v>890</v>
      </c>
      <c r="I123" s="84">
        <v>1959</v>
      </c>
      <c r="J123" s="85" t="s">
        <v>23</v>
      </c>
      <c r="K123" s="85" t="s">
        <v>401</v>
      </c>
      <c r="L123" s="76">
        <v>3.710353</v>
      </c>
      <c r="M123" s="76">
        <v>-73.241921000000005</v>
      </c>
      <c r="N123" s="66" t="str">
        <f>HYPERLINK("https://www.ncbi.nlm.nih.gov/pubmed/13851794", "13851794")</f>
        <v>13851794</v>
      </c>
      <c r="O123" s="28">
        <v>2</v>
      </c>
      <c r="P123" s="54">
        <v>20810845</v>
      </c>
      <c r="Q123" s="54" t="str">
        <f>HYPERLINK("https://pubmed.ncbi.nlm.nih.gov/32186493/", "32186493")</f>
        <v>32186493</v>
      </c>
      <c r="R123" s="54" t="str">
        <f>HYPERLINK("https://pubmed.ncbi.nlm.nih.gov/38793668/", "38793668")</f>
        <v>38793668</v>
      </c>
      <c r="S123" s="7">
        <v>1</v>
      </c>
      <c r="T123" s="77" t="s">
        <v>154</v>
      </c>
      <c r="U123" s="30">
        <v>2929076</v>
      </c>
      <c r="V123" s="53"/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30" t="s">
        <v>365</v>
      </c>
      <c r="AF123" s="30"/>
      <c r="AG123" s="61">
        <v>0</v>
      </c>
      <c r="AH123" s="61">
        <v>0</v>
      </c>
      <c r="AI123" s="61">
        <v>1</v>
      </c>
      <c r="AJ123" s="61">
        <v>0</v>
      </c>
      <c r="AK123" s="61">
        <v>0</v>
      </c>
      <c r="AL123" s="64">
        <v>1928574</v>
      </c>
      <c r="AM123" s="64">
        <v>20810845</v>
      </c>
    </row>
    <row r="124" spans="1:39" ht="18" customHeight="1">
      <c r="A124" s="86" t="s">
        <v>691</v>
      </c>
      <c r="B124" s="87" t="s">
        <v>366</v>
      </c>
      <c r="C124" s="82" t="s">
        <v>346</v>
      </c>
      <c r="D124" s="82" t="s">
        <v>347</v>
      </c>
      <c r="E124" s="65" t="str">
        <f>HYPERLINK("https://ictv.global/taxonomy/taxondetails?taxnode_id=202300113","202300113")</f>
        <v>202300113</v>
      </c>
      <c r="F124" s="83">
        <v>1</v>
      </c>
      <c r="G124" s="3" t="s">
        <v>774</v>
      </c>
      <c r="H124" s="68" t="s">
        <v>891</v>
      </c>
      <c r="I124" s="84">
        <v>1967</v>
      </c>
      <c r="J124" s="85" t="s">
        <v>367</v>
      </c>
      <c r="K124" s="85" t="s">
        <v>401</v>
      </c>
      <c r="L124" s="76">
        <v>4.7710249999999998</v>
      </c>
      <c r="M124" s="76">
        <v>-55.049337000000001</v>
      </c>
      <c r="N124" s="66" t="str">
        <f>HYPERLINK("https://www.ncbi.nlm.nih.gov/pubmed/5585978", "5585978")</f>
        <v>5585978</v>
      </c>
      <c r="O124" s="58">
        <v>2</v>
      </c>
      <c r="P124" s="54" t="str">
        <f>HYPERLINK("https://www.ncbi.nlm.nih.gov/pubmed/18930511 ", "18930511")</f>
        <v>18930511</v>
      </c>
      <c r="Q124" s="54"/>
      <c r="R124" s="54"/>
      <c r="S124" s="7">
        <v>1</v>
      </c>
      <c r="T124" s="77" t="s">
        <v>154</v>
      </c>
      <c r="U124" s="30" t="str">
        <f>HYPERLINK("https://pubmed.ncbi.nlm.nih.gov/18930511/", "18930511")</f>
        <v>18930511</v>
      </c>
      <c r="V124" s="30" t="str">
        <f>HYPERLINK("https://pubmed.ncbi.nlm.nih.gov/35632729/", "35632729")</f>
        <v>35632729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30">
        <v>13793361</v>
      </c>
      <c r="AF124" s="30"/>
      <c r="AG124" s="61">
        <v>0</v>
      </c>
      <c r="AH124" s="61">
        <v>0</v>
      </c>
      <c r="AI124" s="61">
        <v>1</v>
      </c>
      <c r="AJ124" s="61">
        <v>0</v>
      </c>
      <c r="AK124" s="61">
        <v>0</v>
      </c>
      <c r="AL124" s="64">
        <v>3143273</v>
      </c>
      <c r="AM124" s="64"/>
    </row>
    <row r="125" spans="1:39" ht="18" customHeight="1">
      <c r="A125" s="83" t="s">
        <v>368</v>
      </c>
      <c r="B125" s="82" t="s">
        <v>369</v>
      </c>
      <c r="C125" s="82" t="s">
        <v>346</v>
      </c>
      <c r="D125" s="82" t="s">
        <v>347</v>
      </c>
      <c r="E125" s="65" t="str">
        <f>HYPERLINK("https://ictv.global/taxonomy/taxondetails?taxnode_id=202306364", "202306364")</f>
        <v>202306364</v>
      </c>
      <c r="F125" s="83">
        <v>1</v>
      </c>
      <c r="G125" s="3" t="s">
        <v>774</v>
      </c>
      <c r="H125" s="68" t="s">
        <v>892</v>
      </c>
      <c r="I125" s="84">
        <v>1982</v>
      </c>
      <c r="J125" s="85" t="s">
        <v>29</v>
      </c>
      <c r="K125" s="85" t="s">
        <v>755</v>
      </c>
      <c r="L125" s="75">
        <v>42.286070000000002</v>
      </c>
      <c r="M125" s="75">
        <v>-85.580460000000002</v>
      </c>
      <c r="N125" s="66" t="str">
        <f>HYPERLINK("https://pubmed.ncbi.nlm.nih.gov/7149109/", "7149109")</f>
        <v>7149109</v>
      </c>
      <c r="O125" s="58">
        <v>2</v>
      </c>
      <c r="P125" s="54" t="str">
        <f>HYPERLINK("https://www.cdc.gov/jamestown-canyon/php/transmission/?CDC_AAref_Val=https://www.cdc.gov/jamestown-canyon/transmission/index.html", "Direct link")</f>
        <v>Direct link</v>
      </c>
      <c r="Q125" s="54" t="str">
        <f>HYPERLINK("https://pubmed.ncbi.nlm.nih.gov/38666581/", "38666581")</f>
        <v>38666581</v>
      </c>
      <c r="R125" s="54" t="str">
        <f>HYPERLINK("https://pubmed.ncbi.nlm.nih.gov/35530736/", "35530736")</f>
        <v>35530736</v>
      </c>
      <c r="S125" s="7">
        <v>1</v>
      </c>
      <c r="T125" s="77" t="s">
        <v>142</v>
      </c>
      <c r="U125" s="30" t="str">
        <f>HYPERLINK("https://pubmed.ncbi.nlm.nih.gov/34950402/", "34950402")</f>
        <v>34950402</v>
      </c>
      <c r="V125" s="30" t="str">
        <f>HYPERLINK("https://pubmed.ncbi.nlm.nih.gov/32302268/", "32302268")</f>
        <v>32302268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30" t="str">
        <f>HYPERLINK("https://pubmed.ncbi.nlm.nih.gov/37071925/", "37071925")</f>
        <v>37071925</v>
      </c>
      <c r="AF125" s="30"/>
      <c r="AG125" s="61">
        <v>0</v>
      </c>
      <c r="AH125" s="61">
        <v>0</v>
      </c>
      <c r="AI125" s="61">
        <v>1</v>
      </c>
      <c r="AJ125" s="61">
        <v>0</v>
      </c>
      <c r="AK125" s="61">
        <v>0</v>
      </c>
      <c r="AL125" s="64" t="str">
        <f>HYPERLINK("https://pubmed.ncbi.nlm.nih.gov/37071925/", "37071925")</f>
        <v>37071925</v>
      </c>
      <c r="AM125" s="64"/>
    </row>
    <row r="126" spans="1:39" ht="18" customHeight="1">
      <c r="A126" s="83" t="s">
        <v>370</v>
      </c>
      <c r="B126" s="82" t="s">
        <v>371</v>
      </c>
      <c r="C126" s="82" t="s">
        <v>346</v>
      </c>
      <c r="D126" s="82" t="s">
        <v>347</v>
      </c>
      <c r="E126" s="65" t="str">
        <f>HYPERLINK("https://ictv.global/taxonomy/taxondetails?taxnode_id=202306366", "202306366")</f>
        <v>202306366</v>
      </c>
      <c r="F126" s="83">
        <v>1</v>
      </c>
      <c r="G126" s="3" t="s">
        <v>774</v>
      </c>
      <c r="H126" s="68" t="s">
        <v>893</v>
      </c>
      <c r="I126" s="84">
        <v>1965</v>
      </c>
      <c r="J126" s="85" t="s">
        <v>29</v>
      </c>
      <c r="K126" s="85" t="s">
        <v>755</v>
      </c>
      <c r="L126" s="75">
        <v>43.938540000000003</v>
      </c>
      <c r="M126" s="75">
        <v>-91.300460000000001</v>
      </c>
      <c r="N126" s="66" t="str">
        <f>HYPERLINK("https://pubmed.ncbi.nlm.nih.gov/14261030/", "14261030")</f>
        <v>14261030</v>
      </c>
      <c r="O126" s="58">
        <v>2</v>
      </c>
      <c r="P126" s="54" t="str">
        <f>HYPERLINK("https://www.cdc.gov/la-crosse-encephalitis/php/transmission/?CDC_AAref_Val=https://www.cdc.gov/lac/transmission/index.html", "Direct link")</f>
        <v>Direct link</v>
      </c>
      <c r="Q126" s="54" t="str">
        <f>HYPERLINK("Https://pubmed.ncbi.nlm.nih.gov/38531108/", "38531108")</f>
        <v>38531108</v>
      </c>
      <c r="R126" s="54"/>
      <c r="S126" s="7">
        <v>1</v>
      </c>
      <c r="T126" s="77" t="s">
        <v>142</v>
      </c>
      <c r="U126" s="30" t="str">
        <f>HYPERLINK("https://pubmed.ncbi.nlm.nih.gov/35229580/", "35229580")</f>
        <v>35229580</v>
      </c>
      <c r="V126" s="53"/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30" t="str">
        <f>HYPERLINK("https://pubmed.ncbi.nlm.nih.gov/35229580/", "35229580")</f>
        <v>35229580</v>
      </c>
      <c r="AF126" s="30" t="str">
        <f>HYPERLINK("https://www.cdc.gov/la-crosse-encephalitis/php/transmission/?CDC_AAref_Val=https://www.cdc.gov/lac/transmission/index.html", "Direct link")</f>
        <v>Direct link</v>
      </c>
      <c r="AG126" s="61">
        <v>0</v>
      </c>
      <c r="AH126" s="61">
        <v>0</v>
      </c>
      <c r="AI126" s="61">
        <v>1</v>
      </c>
      <c r="AJ126" s="61">
        <v>0</v>
      </c>
      <c r="AK126" s="61">
        <v>0</v>
      </c>
      <c r="AL126" s="64" t="str">
        <f>HYPERLINK("https://pubmed.ncbi.nlm.nih.gov/35229580/", "35229580")</f>
        <v>35229580</v>
      </c>
      <c r="AM126" s="64"/>
    </row>
    <row r="127" spans="1:39" ht="18" customHeight="1">
      <c r="A127" s="86" t="s">
        <v>372</v>
      </c>
      <c r="B127" s="87" t="s">
        <v>373</v>
      </c>
      <c r="C127" s="82" t="s">
        <v>346</v>
      </c>
      <c r="D127" s="82" t="s">
        <v>347</v>
      </c>
      <c r="E127" s="65" t="str">
        <f>HYPERLINK("https://ictv.global/taxonomy/taxondetails?taxnode_id=202300115","202300115")</f>
        <v>202300115</v>
      </c>
      <c r="F127" s="83">
        <v>1</v>
      </c>
      <c r="G127" s="3" t="s">
        <v>774</v>
      </c>
      <c r="H127" s="68" t="s">
        <v>894</v>
      </c>
      <c r="I127" s="84">
        <v>1964</v>
      </c>
      <c r="J127" s="85" t="s">
        <v>143</v>
      </c>
      <c r="K127" s="85" t="s">
        <v>756</v>
      </c>
      <c r="L127" s="76">
        <v>9.2979179999999992</v>
      </c>
      <c r="M127" s="76">
        <v>-82.421102000000005</v>
      </c>
      <c r="N127" s="66" t="str">
        <f>HYPERLINK("https://www.ncbi.nlm.nih.gov/pubmed/14222439", "14222439")</f>
        <v>14222439</v>
      </c>
      <c r="O127" s="28">
        <v>2</v>
      </c>
      <c r="P127" s="54" t="str">
        <f>HYPERLINK("https://www.ncbi.nlm.nih.gov/pubmed/14222439", "14222439")</f>
        <v>14222439</v>
      </c>
      <c r="Q127" s="54"/>
      <c r="R127" s="54"/>
      <c r="S127" s="7" t="s">
        <v>17</v>
      </c>
      <c r="T127" s="77" t="s">
        <v>780</v>
      </c>
      <c r="U127" s="30" t="str">
        <f>HYPERLINK("https://pubmed.ncbi.nlm.nih.gov/14222439/", "14222439")</f>
        <v>14222439</v>
      </c>
      <c r="V127" s="53"/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30">
        <v>24633174</v>
      </c>
      <c r="AF127" s="30"/>
      <c r="AG127" s="61">
        <v>0</v>
      </c>
      <c r="AH127" s="61">
        <v>0</v>
      </c>
      <c r="AI127" s="61">
        <v>1</v>
      </c>
      <c r="AJ127" s="61">
        <v>0</v>
      </c>
      <c r="AK127" s="61">
        <v>0</v>
      </c>
      <c r="AL127" s="64">
        <v>16051848</v>
      </c>
      <c r="AM127" s="64"/>
    </row>
    <row r="128" spans="1:39" ht="18" customHeight="1">
      <c r="A128" s="86" t="s">
        <v>375</v>
      </c>
      <c r="B128" s="87" t="s">
        <v>376</v>
      </c>
      <c r="C128" s="82" t="s">
        <v>346</v>
      </c>
      <c r="D128" s="82" t="s">
        <v>347</v>
      </c>
      <c r="E128" s="65" t="str">
        <f>HYPERLINK("https://ictv.global/taxonomy/taxondetails?taxnode_id=202300118","202300118")</f>
        <v>202300118</v>
      </c>
      <c r="F128" s="83">
        <v>1</v>
      </c>
      <c r="G128" s="3" t="s">
        <v>774</v>
      </c>
      <c r="H128" s="68" t="s">
        <v>895</v>
      </c>
      <c r="I128" s="84">
        <v>1961</v>
      </c>
      <c r="J128" s="85" t="s">
        <v>19</v>
      </c>
      <c r="K128" s="85" t="s">
        <v>401</v>
      </c>
      <c r="L128" s="76">
        <v>-1.387713</v>
      </c>
      <c r="M128" s="76">
        <v>-48.415641000000001</v>
      </c>
      <c r="N128" s="66" t="str">
        <f>HYPERLINK("https://www.ncbi.nlm.nih.gov/pubmed/13691675", "13691675")</f>
        <v>13691675</v>
      </c>
      <c r="O128" s="28">
        <v>2</v>
      </c>
      <c r="P128" s="54" t="str">
        <f>HYPERLINK("https://www.ncbi.nlm.nih.gov/pubmed/13691675", "13691675")</f>
        <v>13691675</v>
      </c>
      <c r="Q128" s="54"/>
      <c r="R128" s="54"/>
      <c r="S128" s="7">
        <v>1</v>
      </c>
      <c r="T128" s="77" t="s">
        <v>154</v>
      </c>
      <c r="U128" s="30">
        <v>3729731</v>
      </c>
      <c r="V128" s="30" t="str">
        <f>HYPERLINK("https://pubmed.ncbi.nlm.nih.gov/38004319/", "38004319")</f>
        <v>38004319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30">
        <v>24633174</v>
      </c>
      <c r="AF128" s="30"/>
      <c r="AG128" s="61">
        <v>0</v>
      </c>
      <c r="AH128" s="61">
        <v>1</v>
      </c>
      <c r="AI128" s="61">
        <v>1</v>
      </c>
      <c r="AJ128" s="61">
        <v>0</v>
      </c>
      <c r="AK128" s="61">
        <v>0</v>
      </c>
      <c r="AL128" s="64">
        <v>16051848</v>
      </c>
      <c r="AM128" s="64" t="str">
        <f>HYPERLINK("https://pubmed.ncbi.nlm.nih.gov/38004319/", "38004319")</f>
        <v>38004319</v>
      </c>
    </row>
    <row r="129" spans="1:39" ht="18" customHeight="1">
      <c r="A129" s="80" t="s">
        <v>377</v>
      </c>
      <c r="B129" s="81" t="s">
        <v>378</v>
      </c>
      <c r="C129" s="82" t="s">
        <v>346</v>
      </c>
      <c r="D129" s="82" t="s">
        <v>347</v>
      </c>
      <c r="E129" s="65" t="str">
        <f>HYPERLINK("https://ictv.global/taxonomy/taxondetails?taxnode_id=202300121","202300121")</f>
        <v>202300121</v>
      </c>
      <c r="F129" s="83">
        <v>1</v>
      </c>
      <c r="G129" s="3" t="s">
        <v>774</v>
      </c>
      <c r="H129" s="68"/>
      <c r="I129" s="84">
        <v>1965</v>
      </c>
      <c r="J129" s="85" t="s">
        <v>380</v>
      </c>
      <c r="K129" s="85" t="s">
        <v>757</v>
      </c>
      <c r="L129" s="74">
        <v>-9.1702000000000006E-2</v>
      </c>
      <c r="M129" s="74">
        <v>34.767957000000003</v>
      </c>
      <c r="N129" s="66" t="str">
        <f>HYPERLINK("https://www.ncbi.nlm.nih.gov/pubmed/14292787", "14292787")</f>
        <v>14292787</v>
      </c>
      <c r="O129" s="28">
        <v>2</v>
      </c>
      <c r="P129" s="54">
        <v>14292787</v>
      </c>
      <c r="Q129" s="54"/>
      <c r="R129" s="54"/>
      <c r="S129" s="7">
        <v>1</v>
      </c>
      <c r="T129" s="77" t="s">
        <v>154</v>
      </c>
      <c r="U129" s="30">
        <v>14292787</v>
      </c>
      <c r="V129" s="30" t="str">
        <f>HYPERLINK("https://pubmed.ncbi.nlm.nih.gov/34641884/", "34641884")</f>
        <v>34641884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30" t="s">
        <v>379</v>
      </c>
      <c r="AF129" s="30"/>
      <c r="AG129" s="61">
        <v>0</v>
      </c>
      <c r="AH129" s="61">
        <v>0</v>
      </c>
      <c r="AI129" s="61" t="s">
        <v>17</v>
      </c>
      <c r="AJ129" s="61">
        <v>0</v>
      </c>
      <c r="AK129" s="61">
        <v>0</v>
      </c>
      <c r="AL129" s="64">
        <v>28488954</v>
      </c>
      <c r="AM129" s="64"/>
    </row>
    <row r="130" spans="1:39" ht="18" customHeight="1">
      <c r="A130" s="86" t="s">
        <v>381</v>
      </c>
      <c r="B130" s="87" t="s">
        <v>382</v>
      </c>
      <c r="C130" s="82" t="s">
        <v>346</v>
      </c>
      <c r="D130" s="82" t="s">
        <v>347</v>
      </c>
      <c r="E130" s="65" t="str">
        <f>HYPERLINK("https://ictv.global/taxonomy/taxondetails?taxnode_id=202300123","202300123")</f>
        <v>202300123</v>
      </c>
      <c r="F130" s="83">
        <v>1</v>
      </c>
      <c r="G130" s="3" t="s">
        <v>774</v>
      </c>
      <c r="H130" s="68" t="s">
        <v>896</v>
      </c>
      <c r="I130" s="84">
        <v>1961</v>
      </c>
      <c r="J130" s="85" t="s">
        <v>19</v>
      </c>
      <c r="K130" s="85" t="s">
        <v>401</v>
      </c>
      <c r="L130" s="76">
        <v>-1.387713</v>
      </c>
      <c r="M130" s="76">
        <v>-48.415641000000001</v>
      </c>
      <c r="N130" s="66" t="str">
        <f>HYPERLINK("https://www.ncbi.nlm.nih.gov/pubmed/13691675", "13691675")</f>
        <v>13691675</v>
      </c>
      <c r="O130" s="28">
        <v>2</v>
      </c>
      <c r="P130" s="54" t="str">
        <f>HYPERLINK("https://www.ncbi.nlm.nih.gov/pubmed/13691675", "13691675")</f>
        <v>13691675</v>
      </c>
      <c r="Q130" s="54"/>
      <c r="R130" s="54"/>
      <c r="S130" s="7">
        <v>1</v>
      </c>
      <c r="T130" s="77" t="s">
        <v>154</v>
      </c>
      <c r="U130" s="30">
        <v>2990042</v>
      </c>
      <c r="V130" s="30" t="str">
        <f>HYPERLINK("https://pubmed.ncbi.nlm.nih.gov/38004319/", "38004319")</f>
        <v>38004319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30" t="s">
        <v>374</v>
      </c>
      <c r="AF130" s="30"/>
      <c r="AG130" s="61">
        <v>0</v>
      </c>
      <c r="AH130" s="61">
        <v>1</v>
      </c>
      <c r="AI130" s="61">
        <v>1</v>
      </c>
      <c r="AJ130" s="61">
        <v>0</v>
      </c>
      <c r="AK130" s="61">
        <v>0</v>
      </c>
      <c r="AL130" s="64">
        <v>16051848</v>
      </c>
      <c r="AM130" s="64"/>
    </row>
    <row r="131" spans="1:39" ht="18" customHeight="1">
      <c r="A131" s="86" t="s">
        <v>383</v>
      </c>
      <c r="B131" s="87" t="s">
        <v>384</v>
      </c>
      <c r="C131" s="82" t="s">
        <v>346</v>
      </c>
      <c r="D131" s="82" t="s">
        <v>347</v>
      </c>
      <c r="E131" s="65" t="str">
        <f>HYPERLINK("https://ictv.global/taxonomy/taxondetails?taxnode_id=202300124","202300124")</f>
        <v>202300124</v>
      </c>
      <c r="F131" s="83">
        <v>1</v>
      </c>
      <c r="G131" s="3" t="s">
        <v>774</v>
      </c>
      <c r="H131" s="68" t="s">
        <v>897</v>
      </c>
      <c r="I131" s="84">
        <v>1961</v>
      </c>
      <c r="J131" s="85" t="s">
        <v>386</v>
      </c>
      <c r="K131" s="85" t="s">
        <v>756</v>
      </c>
      <c r="L131" s="76">
        <v>10.224364</v>
      </c>
      <c r="M131" s="76">
        <v>-61.522362999999999</v>
      </c>
      <c r="N131" s="66" t="str">
        <f>HYPERLINK("https://www.ncbi.nlm.nih.gov/pubmed/13683183", "13683183")</f>
        <v>13683183</v>
      </c>
      <c r="O131" s="28" t="s">
        <v>81</v>
      </c>
      <c r="P131" s="54">
        <v>28167595</v>
      </c>
      <c r="Q131" s="54" t="str">
        <f>HYPERLINK("https://pubmed.ncbi.nlm.nih.gov/35301331/", "35301331")</f>
        <v>35301331</v>
      </c>
      <c r="R131" s="54" t="str">
        <f>HYPERLINK("https://pubmed.ncbi.nlm.nih.gov/38281494/", "38281494")</f>
        <v>38281494</v>
      </c>
      <c r="S131" s="7">
        <v>1</v>
      </c>
      <c r="T131" s="77" t="s">
        <v>154</v>
      </c>
      <c r="U131" s="30">
        <v>6782898</v>
      </c>
      <c r="V131" s="30" t="str">
        <f>HYPERLINK("https://pubmed.ncbi.nlm.nih.gov/38004319/", "38004319")</f>
        <v>38004319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30" t="s">
        <v>385</v>
      </c>
      <c r="AF131" s="30"/>
      <c r="AG131" s="61">
        <v>0</v>
      </c>
      <c r="AH131" s="61">
        <v>1</v>
      </c>
      <c r="AI131" s="61">
        <v>1</v>
      </c>
      <c r="AJ131" s="61">
        <v>1</v>
      </c>
      <c r="AK131" s="61">
        <v>0</v>
      </c>
      <c r="AL131" s="64">
        <v>20727376</v>
      </c>
      <c r="AM131" s="64" t="str">
        <f>HYPERLINK("https://pubmed.ncbi.nlm.nih.gov/35301331/", "35301331")</f>
        <v>35301331</v>
      </c>
    </row>
    <row r="132" spans="1:39" ht="18" customHeight="1">
      <c r="A132" s="80" t="s">
        <v>387</v>
      </c>
      <c r="B132" s="81" t="s">
        <v>388</v>
      </c>
      <c r="C132" s="82" t="s">
        <v>346</v>
      </c>
      <c r="D132" s="82" t="s">
        <v>347</v>
      </c>
      <c r="E132" s="65" t="str">
        <f>HYPERLINK("https://ictv.global/taxonomy/taxondetails?taxnode_id=202300125","202300125")</f>
        <v>202300125</v>
      </c>
      <c r="F132" s="83">
        <v>1</v>
      </c>
      <c r="G132" s="3" t="s">
        <v>774</v>
      </c>
      <c r="H132" s="68" t="s">
        <v>898</v>
      </c>
      <c r="I132" s="84">
        <v>1972</v>
      </c>
      <c r="J132" s="72" t="s">
        <v>390</v>
      </c>
      <c r="K132" s="85" t="s">
        <v>755</v>
      </c>
      <c r="L132" s="74">
        <v>18.45</v>
      </c>
      <c r="M132" s="74">
        <v>-95.1</v>
      </c>
      <c r="N132" s="66" t="str">
        <f>HYPERLINK("https://www.ncbi.nlm.nih.gov/pubmed/4400811", "4400811")</f>
        <v>4400811</v>
      </c>
      <c r="O132" s="28">
        <v>2</v>
      </c>
      <c r="P132" s="54" t="str">
        <f>HYPERLINK("https://www.ncbi.nlm.nih.gov/pubmed/4400811", "4400811")</f>
        <v>4400811</v>
      </c>
      <c r="Q132" s="54"/>
      <c r="R132" s="54"/>
      <c r="S132" s="7">
        <v>1</v>
      </c>
      <c r="T132" s="77" t="s">
        <v>154</v>
      </c>
      <c r="U132" s="30" t="s">
        <v>389</v>
      </c>
      <c r="V132" s="53"/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30" t="s">
        <v>389</v>
      </c>
      <c r="AF132" s="30"/>
      <c r="AG132" s="62">
        <v>0</v>
      </c>
      <c r="AH132" s="62">
        <v>0</v>
      </c>
      <c r="AI132" s="61">
        <v>1</v>
      </c>
      <c r="AJ132" s="61">
        <v>0</v>
      </c>
      <c r="AK132" s="61">
        <v>0</v>
      </c>
      <c r="AL132" s="64">
        <v>3981</v>
      </c>
      <c r="AM132" s="64"/>
    </row>
    <row r="133" spans="1:39" ht="18" customHeight="1">
      <c r="A133" s="86" t="s">
        <v>391</v>
      </c>
      <c r="B133" s="87" t="s">
        <v>392</v>
      </c>
      <c r="C133" s="82" t="s">
        <v>346</v>
      </c>
      <c r="D133" s="82" t="s">
        <v>347</v>
      </c>
      <c r="E133" s="65" t="str">
        <f>HYPERLINK("https://ictv.global/taxonomy/taxondetails?taxnode_id=202300128","202300128")</f>
        <v>202300128</v>
      </c>
      <c r="F133" s="83">
        <v>1</v>
      </c>
      <c r="G133" s="3" t="s">
        <v>774</v>
      </c>
      <c r="H133" s="68" t="s">
        <v>899</v>
      </c>
      <c r="I133" s="84">
        <v>1975</v>
      </c>
      <c r="J133" s="85" t="s">
        <v>43</v>
      </c>
      <c r="K133" s="85" t="s">
        <v>757</v>
      </c>
      <c r="L133" s="76">
        <v>7.377535</v>
      </c>
      <c r="M133" s="76">
        <v>3.9470399999999999</v>
      </c>
      <c r="N133" s="66" t="str">
        <f>HYPERLINK("https://www.ncbi.nlm.nih.gov/pubmed/1124969", "1124969")</f>
        <v>1124969</v>
      </c>
      <c r="O133" s="28">
        <v>2</v>
      </c>
      <c r="P133" s="54" t="str">
        <f>HYPERLINK("https://pubmed.ncbi.nlm.nih.gov/27540741/", "27540741")</f>
        <v>27540741</v>
      </c>
      <c r="Q133" s="54" t="str">
        <f>HYPERLINK("https://pubmed.ncbi.nlm.nih.gov/33383649/", "33383649")</f>
        <v>33383649</v>
      </c>
      <c r="R133" s="54" t="str">
        <f>HYPERLINK("https://pubmed.ncbi.nlm.nih.gov/33496223/", "33496223")</f>
        <v>33496223</v>
      </c>
      <c r="S133" s="7">
        <v>1</v>
      </c>
      <c r="T133" s="77" t="s">
        <v>154</v>
      </c>
      <c r="U133" s="30" t="str">
        <f>HYPERLINK("https://pubmed.ncbi.nlm.nih.gov/24134941/", "24134941")</f>
        <v>24134941</v>
      </c>
      <c r="V133" s="30" t="str">
        <f>HYPERLINK("https://pubmed.ncbi.nlm.nih.gov/34696407/", "34696407")</f>
        <v>34696407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30" t="str">
        <f>HYPERLINK("https://pubmed.ncbi.nlm.nih.gov/33496223/", "33496223")</f>
        <v>33496223</v>
      </c>
      <c r="AF133" s="30" t="str">
        <f>HYPERLINK("https://pubmed.ncbi.nlm.nih.gov/33383649/", "33383649")</f>
        <v>33383649</v>
      </c>
      <c r="AG133" s="61">
        <v>0</v>
      </c>
      <c r="AH133" s="61">
        <v>0</v>
      </c>
      <c r="AI133" s="61">
        <v>1</v>
      </c>
      <c r="AJ133" s="61">
        <v>0</v>
      </c>
      <c r="AK133" s="61">
        <v>0</v>
      </c>
      <c r="AL133" s="64">
        <v>22305525</v>
      </c>
      <c r="AM133" s="64"/>
    </row>
    <row r="134" spans="1:39" ht="18" customHeight="1">
      <c r="A134" s="86" t="s">
        <v>393</v>
      </c>
      <c r="B134" s="87" t="s">
        <v>394</v>
      </c>
      <c r="C134" s="82" t="s">
        <v>346</v>
      </c>
      <c r="D134" s="82" t="s">
        <v>347</v>
      </c>
      <c r="E134" s="65" t="str">
        <f>HYPERLINK("https://ictv.global/taxonomy/taxondetails?taxnode_id=202300130","202300130")</f>
        <v>202300130</v>
      </c>
      <c r="F134" s="83">
        <v>1</v>
      </c>
      <c r="G134" s="3" t="s">
        <v>774</v>
      </c>
      <c r="H134" s="68" t="s">
        <v>900</v>
      </c>
      <c r="I134" s="84">
        <v>1967</v>
      </c>
      <c r="J134" s="85" t="s">
        <v>367</v>
      </c>
      <c r="K134" s="85" t="s">
        <v>401</v>
      </c>
      <c r="L134" s="76">
        <v>4.7710249999999998</v>
      </c>
      <c r="M134" s="76">
        <v>-55.049337000000001</v>
      </c>
      <c r="N134" s="66" t="str">
        <f>HYPERLINK("https://www.ncbi.nlm.nih.gov/pubmed/5585978", "5585978")</f>
        <v>5585978</v>
      </c>
      <c r="O134" s="28">
        <v>2</v>
      </c>
      <c r="P134" s="54">
        <v>8115796</v>
      </c>
      <c r="Q134" s="54"/>
      <c r="R134" s="54"/>
      <c r="S134" s="7">
        <v>1</v>
      </c>
      <c r="T134" s="77" t="s">
        <v>154</v>
      </c>
      <c r="U134" s="30">
        <v>29476812</v>
      </c>
      <c r="V134" s="30" t="str">
        <f>HYPERLINK("https://pubmed.ncbi.nlm.nih.gov/35632729/", "35632729")</f>
        <v>35632729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30" t="s">
        <v>395</v>
      </c>
      <c r="AF134" s="30"/>
      <c r="AG134" s="61">
        <v>0</v>
      </c>
      <c r="AH134" s="61">
        <v>1</v>
      </c>
      <c r="AI134" s="61">
        <v>1</v>
      </c>
      <c r="AJ134" s="61">
        <v>1</v>
      </c>
      <c r="AK134" s="61">
        <v>0</v>
      </c>
      <c r="AL134" s="64">
        <v>8115796</v>
      </c>
      <c r="AM134" s="64" t="str">
        <f>HYPERLINK("https://pubmed.ncbi.nlm.nih.gov/35632729/", "35632729")</f>
        <v>35632729</v>
      </c>
    </row>
    <row r="135" spans="1:39" ht="18" customHeight="1">
      <c r="A135" s="83" t="s">
        <v>396</v>
      </c>
      <c r="B135" s="82" t="s">
        <v>397</v>
      </c>
      <c r="C135" s="82" t="s">
        <v>346</v>
      </c>
      <c r="D135" s="82" t="s">
        <v>347</v>
      </c>
      <c r="E135" s="65" t="str">
        <f>HYPERLINK("https://ictv.global/taxonomy/taxondetails?taxnode_id=202314234", "202314234")</f>
        <v>202314234</v>
      </c>
      <c r="F135" s="83">
        <v>1</v>
      </c>
      <c r="G135" s="3" t="s">
        <v>774</v>
      </c>
      <c r="H135" s="68"/>
      <c r="I135" s="84">
        <v>2020</v>
      </c>
      <c r="J135" s="85" t="s">
        <v>290</v>
      </c>
      <c r="K135" s="85" t="s">
        <v>753</v>
      </c>
      <c r="L135" s="75">
        <v>44.104869999999998</v>
      </c>
      <c r="M135" s="75">
        <v>1.08466</v>
      </c>
      <c r="N135" s="66" t="str">
        <f>HYPERLINK("https://pubmed.ncbi.nlm.nih.gov/32516409/", "32516409")</f>
        <v>32516409</v>
      </c>
      <c r="O135" s="58">
        <v>2</v>
      </c>
      <c r="P135" s="54" t="str">
        <f>HYPERLINK("https://pubmed.ncbi.nlm.nih.gov/32516409/", "32516409")</f>
        <v>32516409</v>
      </c>
      <c r="Q135" s="54"/>
      <c r="R135" s="54"/>
      <c r="S135" s="7">
        <v>1</v>
      </c>
      <c r="T135" s="77" t="s">
        <v>142</v>
      </c>
      <c r="U135" s="30" t="str">
        <f>HYPERLINK("https://pubmed.ncbi.nlm.nih.gov/4395257/", "4395257")</f>
        <v>4395257</v>
      </c>
      <c r="V135" s="30" t="str">
        <f>HYPERLINK("https://pubmed.ncbi.nlm.nih.gov/28948950/", "28948950")</f>
        <v>28948950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30" t="str">
        <f>HYPERLINK("https://pubmed.ncbi.nlm.nih.gov/32516409/", "32516409")</f>
        <v>32516409</v>
      </c>
      <c r="AF135" s="30"/>
      <c r="AG135" s="61">
        <v>0</v>
      </c>
      <c r="AH135" s="61">
        <v>0</v>
      </c>
      <c r="AI135" s="61">
        <v>0</v>
      </c>
      <c r="AJ135" s="61">
        <v>1</v>
      </c>
      <c r="AK135" s="61">
        <v>0</v>
      </c>
      <c r="AL135" s="64" t="str">
        <f>HYPERLINK("https://pubmed.ncbi.nlm.nih.gov/28948950/", "28948950")</f>
        <v>28948950</v>
      </c>
      <c r="AM135" s="64" t="str">
        <f>HYPERLINK("https://pubmed.ncbi.nlm.nih.gov/31500304/", "31500304")</f>
        <v>31500304</v>
      </c>
    </row>
    <row r="136" spans="1:39" ht="18" customHeight="1">
      <c r="A136" s="86" t="s">
        <v>398</v>
      </c>
      <c r="B136" s="87" t="s">
        <v>399</v>
      </c>
      <c r="C136" s="82" t="s">
        <v>346</v>
      </c>
      <c r="D136" s="82" t="s">
        <v>347</v>
      </c>
      <c r="E136" s="65" t="str">
        <f>HYPERLINK("https://ictv.global/taxonomy/taxondetails?taxnode_id=202300135","202300135")</f>
        <v>202300135</v>
      </c>
      <c r="F136" s="83">
        <v>1</v>
      </c>
      <c r="G136" s="3" t="s">
        <v>774</v>
      </c>
      <c r="H136" s="68" t="s">
        <v>901</v>
      </c>
      <c r="I136" s="84">
        <v>1965</v>
      </c>
      <c r="J136" s="85" t="s">
        <v>143</v>
      </c>
      <c r="K136" s="85" t="s">
        <v>756</v>
      </c>
      <c r="L136" s="76">
        <v>7.8681710000000002</v>
      </c>
      <c r="M136" s="76">
        <v>-77.836727999999994</v>
      </c>
      <c r="N136" s="66" t="str">
        <f>HYPERLINK("https://www.ncbi.nlm.nih.gov/pubmed/14332846", "14332846")</f>
        <v>14332846</v>
      </c>
      <c r="O136" s="28">
        <v>2</v>
      </c>
      <c r="P136" s="54">
        <v>22278828</v>
      </c>
      <c r="Q136" s="54"/>
      <c r="R136" s="54"/>
      <c r="S136" s="7">
        <v>1</v>
      </c>
      <c r="T136" s="77" t="s">
        <v>154</v>
      </c>
      <c r="U136" s="30">
        <v>3541803</v>
      </c>
      <c r="V136" s="30" t="str">
        <f>HYPERLINK("https://pubmed.ncbi.nlm.nih.gov/37376570/", "37376570")</f>
        <v>37376570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30" t="s">
        <v>400</v>
      </c>
      <c r="AF136" s="30"/>
      <c r="AG136" s="61">
        <v>0</v>
      </c>
      <c r="AH136" s="61">
        <v>0</v>
      </c>
      <c r="AI136" s="61">
        <v>1</v>
      </c>
      <c r="AJ136" s="61">
        <v>0</v>
      </c>
      <c r="AK136" s="61">
        <v>0</v>
      </c>
      <c r="AL136" s="64">
        <v>22278828</v>
      </c>
      <c r="AM136" s="64"/>
    </row>
    <row r="137" spans="1:39" ht="18" customHeight="1">
      <c r="A137" s="86" t="s">
        <v>692</v>
      </c>
      <c r="B137" s="87" t="s">
        <v>402</v>
      </c>
      <c r="C137" s="82" t="s">
        <v>403</v>
      </c>
      <c r="D137" s="82" t="s">
        <v>404</v>
      </c>
      <c r="E137" s="65" t="str">
        <f>HYPERLINK("https://ictv.global/taxonomy/taxondetails?taxnode_id=202300166","202300166")</f>
        <v>202300166</v>
      </c>
      <c r="F137" s="83">
        <v>1</v>
      </c>
      <c r="G137" s="3" t="s">
        <v>775</v>
      </c>
      <c r="H137" s="68" t="s">
        <v>902</v>
      </c>
      <c r="I137" s="84">
        <v>2011</v>
      </c>
      <c r="J137" s="85" t="s">
        <v>108</v>
      </c>
      <c r="K137" s="85" t="s">
        <v>754</v>
      </c>
      <c r="L137" s="76">
        <v>31.374693000000001</v>
      </c>
      <c r="M137" s="76">
        <v>115.394873</v>
      </c>
      <c r="N137" s="66" t="str">
        <f>HYPERLINK("https://www.ncbi.nlm.nih.gov/pubmed/21457654", "21457654")</f>
        <v>21457654</v>
      </c>
      <c r="O137" s="28">
        <v>3</v>
      </c>
      <c r="P137" s="54">
        <v>24837566</v>
      </c>
      <c r="Q137" s="54" t="str">
        <f>HYPERLINK("https://pubmed.ncbi.nlm.nih.gov/33930022/", "33930022")</f>
        <v>33930022</v>
      </c>
      <c r="R137" s="54"/>
      <c r="S137" s="7">
        <v>1</v>
      </c>
      <c r="T137" s="77" t="s">
        <v>276</v>
      </c>
      <c r="U137" s="30">
        <v>4111194</v>
      </c>
      <c r="V137" s="53"/>
      <c r="W137" s="7">
        <v>0</v>
      </c>
      <c r="X137" s="7">
        <v>0</v>
      </c>
      <c r="Y137" s="7">
        <v>0</v>
      </c>
      <c r="Z137" s="7">
        <v>1</v>
      </c>
      <c r="AA137" s="7">
        <v>0</v>
      </c>
      <c r="AB137" s="7">
        <v>0</v>
      </c>
      <c r="AC137" s="7">
        <v>0</v>
      </c>
      <c r="AD137" s="7">
        <v>1</v>
      </c>
      <c r="AE137" s="30" t="str">
        <f>HYPERLINK("https://pubmed.ncbi.nlm.nih.gov/38760812/", "38760812")</f>
        <v>38760812</v>
      </c>
      <c r="AF137" s="30" t="str">
        <f>HYPERLINK("https://pubmed.ncbi.nlm.nih.gov/33802869/", "33802869")</f>
        <v>33802869</v>
      </c>
      <c r="AG137" s="61">
        <v>0</v>
      </c>
      <c r="AH137" s="61">
        <v>0</v>
      </c>
      <c r="AI137" s="61">
        <v>1</v>
      </c>
      <c r="AJ137" s="61">
        <v>1</v>
      </c>
      <c r="AK137" s="61">
        <v>0</v>
      </c>
      <c r="AL137" s="64">
        <v>27035712</v>
      </c>
      <c r="AM137" s="64">
        <v>24451093</v>
      </c>
    </row>
    <row r="138" spans="1:39" ht="18" customHeight="1">
      <c r="A138" s="83" t="s">
        <v>405</v>
      </c>
      <c r="B138" s="81" t="s">
        <v>406</v>
      </c>
      <c r="C138" s="82" t="s">
        <v>403</v>
      </c>
      <c r="D138" s="82" t="s">
        <v>404</v>
      </c>
      <c r="E138" s="65" t="str">
        <f>HYPERLINK("https://ictv.global/taxonomy/taxondetails?taxnode_id=202306607","202306607")</f>
        <v>202306607</v>
      </c>
      <c r="F138" s="83">
        <v>1</v>
      </c>
      <c r="G138" s="3" t="s">
        <v>775</v>
      </c>
      <c r="H138" s="68" t="s">
        <v>903</v>
      </c>
      <c r="I138" s="84">
        <v>2012</v>
      </c>
      <c r="J138" s="85" t="s">
        <v>29</v>
      </c>
      <c r="K138" s="85" t="s">
        <v>755</v>
      </c>
      <c r="L138" s="75">
        <v>39.087249999999997</v>
      </c>
      <c r="M138" s="75">
        <v>-94.588319999999996</v>
      </c>
      <c r="N138" s="66" t="str">
        <f>HYPERLINK("https://www.ncbi.nlm.nih.gov/pubmed/22931317", "22931317")</f>
        <v>22931317</v>
      </c>
      <c r="O138" s="28">
        <v>2</v>
      </c>
      <c r="P138" s="54" t="str">
        <f>HYPERLINK("https://www.ncbi.nlm.nih.gov/pubmed/24670929", "24670929")</f>
        <v>24670929</v>
      </c>
      <c r="Q138" s="54" t="str">
        <f>HYPERLINK("https://pubmed.ncbi.nlm.nih.gov/38399689/", "38399689")</f>
        <v>38399689</v>
      </c>
      <c r="R138" s="79"/>
      <c r="S138" s="7">
        <v>1</v>
      </c>
      <c r="T138" s="77" t="s">
        <v>163</v>
      </c>
      <c r="U138" s="30" t="str">
        <f>HYPERLINK("https://pubmed.ncbi.nlm.nih.gov/32232463/", "32232463")</f>
        <v>32232463</v>
      </c>
      <c r="V138" s="30" t="str">
        <f>HYPERLINK("https://pubmed.ncbi.nlm.nih.gov/38399689/", "38399689")</f>
        <v>38399689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30" t="str">
        <f>HYPERLINK("https://www.ncbi.nlm.nih.gov/pubmed/24670929", "24670929")</f>
        <v>24670929</v>
      </c>
      <c r="AF138" s="30"/>
      <c r="AG138" s="61">
        <v>0</v>
      </c>
      <c r="AH138" s="61">
        <v>0</v>
      </c>
      <c r="AI138" s="61">
        <v>1</v>
      </c>
      <c r="AJ138" s="61">
        <v>0</v>
      </c>
      <c r="AK138" s="61">
        <v>0</v>
      </c>
      <c r="AL138" s="64">
        <v>26401988</v>
      </c>
      <c r="AM138" s="64" t="str">
        <f>HYPERLINK("https://pubmed.ncbi.nlm.nih.gov/38792729/", "38792729")</f>
        <v>38792729</v>
      </c>
    </row>
    <row r="139" spans="1:39" ht="18" customHeight="1">
      <c r="A139" s="86" t="s">
        <v>407</v>
      </c>
      <c r="B139" s="87" t="s">
        <v>408</v>
      </c>
      <c r="C139" s="82" t="s">
        <v>409</v>
      </c>
      <c r="D139" s="82" t="s">
        <v>404</v>
      </c>
      <c r="E139" s="65" t="str">
        <f>HYPERLINK("https://ictv.global/taxonomy/taxondetails?taxnode_id=202300159","202300159")</f>
        <v>202300159</v>
      </c>
      <c r="F139" s="83">
        <v>1</v>
      </c>
      <c r="G139" s="3" t="s">
        <v>775</v>
      </c>
      <c r="H139" s="68" t="s">
        <v>904</v>
      </c>
      <c r="I139" s="84">
        <v>1983</v>
      </c>
      <c r="J139" s="85" t="s">
        <v>19</v>
      </c>
      <c r="K139" s="85" t="s">
        <v>401</v>
      </c>
      <c r="L139" s="76">
        <v>-1.9448179999999999</v>
      </c>
      <c r="M139" s="76">
        <v>-54.732019000000001</v>
      </c>
      <c r="N139" s="66" t="str">
        <f>HYPERLINK("https://www.ncbi.nlm.nih.gov/pubmed/6312820", "6312820")</f>
        <v>6312820</v>
      </c>
      <c r="O139" s="28">
        <v>2</v>
      </c>
      <c r="P139" s="54" t="str">
        <f>HYPERLINK("https://pubmed.ncbi.nlm.nih.gov/21289119/", "21289119")</f>
        <v>21289119</v>
      </c>
      <c r="Q139" s="54"/>
      <c r="R139" s="54"/>
      <c r="S139" s="7">
        <v>1</v>
      </c>
      <c r="T139" s="77" t="s">
        <v>154</v>
      </c>
      <c r="U139" s="30" t="str">
        <f>HYPERLINK("https://pubmed.ncbi.nlm.nih.gov/2829707/", "2829707")</f>
        <v>2829707</v>
      </c>
      <c r="V139" s="53"/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30">
        <v>21289119</v>
      </c>
      <c r="AF139" s="30"/>
      <c r="AG139" s="61">
        <v>0</v>
      </c>
      <c r="AH139" s="61">
        <v>0</v>
      </c>
      <c r="AI139" s="61">
        <v>1</v>
      </c>
      <c r="AJ139" s="61">
        <v>0</v>
      </c>
      <c r="AK139" s="61">
        <v>0</v>
      </c>
      <c r="AL139" s="64">
        <v>21289119</v>
      </c>
      <c r="AM139" s="64"/>
    </row>
    <row r="140" spans="1:39" ht="18" customHeight="1">
      <c r="A140" s="80" t="s">
        <v>693</v>
      </c>
      <c r="B140" s="81" t="s">
        <v>410</v>
      </c>
      <c r="C140" s="82" t="s">
        <v>409</v>
      </c>
      <c r="D140" s="82" t="s">
        <v>404</v>
      </c>
      <c r="E140" s="65" t="str">
        <f>HYPERLINK("https://ictv.global/taxonomy/taxondetails?taxnode_id=202300165","202300165")</f>
        <v>202300165</v>
      </c>
      <c r="F140" s="83">
        <v>1</v>
      </c>
      <c r="G140" s="3" t="s">
        <v>775</v>
      </c>
      <c r="H140" s="68" t="s">
        <v>905</v>
      </c>
      <c r="I140" s="84">
        <v>1944</v>
      </c>
      <c r="J140" s="85" t="s">
        <v>208</v>
      </c>
      <c r="K140" s="85" t="s">
        <v>753</v>
      </c>
      <c r="L140" s="74">
        <v>37.599994000000002</v>
      </c>
      <c r="M140" s="74">
        <v>14.015356000000001</v>
      </c>
      <c r="N140" s="66" t="str">
        <f>HYPERLINK("https://jamanetwork.com/journals/jama/article-abstract/269091", "Direct link")</f>
        <v>Direct link</v>
      </c>
      <c r="O140" s="28">
        <v>2</v>
      </c>
      <c r="P140" s="79">
        <v>16318715</v>
      </c>
      <c r="Q140" s="54" t="str">
        <f>HYPERLINK("https://pubmed.ncbi.nlm.nih.gov/38668303/D1", "38668303")</f>
        <v>38668303</v>
      </c>
      <c r="R140" s="79"/>
      <c r="S140" s="7">
        <v>1</v>
      </c>
      <c r="T140" s="77" t="s">
        <v>154</v>
      </c>
      <c r="U140" s="30">
        <v>14501989</v>
      </c>
      <c r="V140" s="53"/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30">
        <v>4206329</v>
      </c>
      <c r="AF140" s="30" t="str">
        <f>HYPERLINK("https://pubmed.ncbi.nlm.nih.gov/38668303/", "38668303")</f>
        <v>38668303</v>
      </c>
      <c r="AG140" s="61">
        <v>0</v>
      </c>
      <c r="AH140" s="61">
        <v>0</v>
      </c>
      <c r="AI140" s="61">
        <v>1</v>
      </c>
      <c r="AJ140" s="61">
        <v>0</v>
      </c>
      <c r="AK140" s="61">
        <v>0</v>
      </c>
      <c r="AL140" s="64">
        <v>27783676</v>
      </c>
      <c r="AM140" s="64"/>
    </row>
    <row r="141" spans="1:39" ht="18" customHeight="1">
      <c r="A141" s="86" t="s">
        <v>411</v>
      </c>
      <c r="B141" s="87" t="s">
        <v>412</v>
      </c>
      <c r="C141" s="82" t="s">
        <v>409</v>
      </c>
      <c r="D141" s="82" t="s">
        <v>404</v>
      </c>
      <c r="E141" s="65" t="str">
        <f>HYPERLINK("https://ictv.global/taxonomy/taxondetails?taxnode_id=202300163","202300163")</f>
        <v>202300163</v>
      </c>
      <c r="F141" s="83">
        <v>1</v>
      </c>
      <c r="G141" s="3" t="s">
        <v>775</v>
      </c>
      <c r="H141" s="68" t="s">
        <v>906</v>
      </c>
      <c r="I141" s="84">
        <v>1931</v>
      </c>
      <c r="J141" s="85" t="s">
        <v>380</v>
      </c>
      <c r="K141" s="85" t="s">
        <v>757</v>
      </c>
      <c r="L141" s="76">
        <v>-0.27721200000000001</v>
      </c>
      <c r="M141" s="76">
        <v>36.070270000000001</v>
      </c>
      <c r="N141" s="66" t="str">
        <f>HYPERLINK("http://onlinelibrary.wiley.com/doi/10.1002/path.1700340418/abstract", "Direct link")</f>
        <v>Direct link</v>
      </c>
      <c r="O141" s="59">
        <v>3</v>
      </c>
      <c r="P141" s="54">
        <v>16925964</v>
      </c>
      <c r="Q141" s="54">
        <v>18360907</v>
      </c>
      <c r="R141" s="54" t="str">
        <f>HYPERLINK("https://pubmed.ncbi.nlm.nih.gov/36913925/", "36913925")</f>
        <v>36913925</v>
      </c>
      <c r="S141" s="7">
        <v>1</v>
      </c>
      <c r="T141" s="77" t="s">
        <v>154</v>
      </c>
      <c r="U141" s="30" t="str">
        <f>HYPERLINK("https://pubmed.ncbi.nlm.nih.gov/2829707/", "2829707")</f>
        <v>2829707</v>
      </c>
      <c r="V141" s="30" t="str">
        <f>HYPERLINK("https://pubmed.ncbi.nlm.nih.gov/38540153/", "38540153")</f>
        <v>38540153</v>
      </c>
      <c r="W141" s="7">
        <v>1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1</v>
      </c>
      <c r="AD141" s="7">
        <v>1</v>
      </c>
      <c r="AE141" s="30" t="str">
        <f>HYPERLINK("https://pubmed.ncbi.nlm.nih.gov/33597209/", "33597209")</f>
        <v>33597209</v>
      </c>
      <c r="AF141" s="30" t="str">
        <f>HYPERLINK("https://pubmed.ncbi.nlm.nih.gov/38540153/", "38540153")</f>
        <v>38540153</v>
      </c>
      <c r="AG141" s="61">
        <v>0</v>
      </c>
      <c r="AH141" s="61">
        <v>0</v>
      </c>
      <c r="AI141" s="61">
        <v>1</v>
      </c>
      <c r="AJ141" s="61">
        <v>0</v>
      </c>
      <c r="AK141" s="61">
        <v>0</v>
      </c>
      <c r="AL141" s="64">
        <v>10817634</v>
      </c>
      <c r="AM141" s="64"/>
    </row>
    <row r="142" spans="1:39" ht="18" customHeight="1">
      <c r="A142" s="56" t="s">
        <v>979</v>
      </c>
      <c r="B142" s="8" t="s">
        <v>649</v>
      </c>
      <c r="C142" s="8" t="s">
        <v>409</v>
      </c>
      <c r="D142" s="8" t="s">
        <v>404</v>
      </c>
      <c r="E142" s="65" t="str">
        <f>HYPERLINK("https://ictv.global/taxonomy/taxondetails?taxnode_id=202307612","202307612")</f>
        <v>202307612</v>
      </c>
      <c r="F142" s="12">
        <v>1</v>
      </c>
      <c r="G142" s="3" t="s">
        <v>775</v>
      </c>
      <c r="H142" s="68" t="s">
        <v>992</v>
      </c>
      <c r="I142" s="84">
        <v>1944</v>
      </c>
      <c r="J142" s="45" t="s">
        <v>208</v>
      </c>
      <c r="K142" s="85" t="s">
        <v>753</v>
      </c>
      <c r="L142" s="75">
        <v>38.2347255401871</v>
      </c>
      <c r="M142" s="75">
        <v>13.366532554484801</v>
      </c>
      <c r="N142" s="66" t="str">
        <f>HYPERLINK("https://jamanetwork.com/journals/jama/fullarticle/269091", "Direct link")</f>
        <v>Direct link</v>
      </c>
      <c r="O142" s="28" t="s">
        <v>81</v>
      </c>
      <c r="P142" s="54" t="str">
        <f>HYPERLINK("https://pubmed.ncbi.nlm.nih.gov/27783676/", "27783676")</f>
        <v>27783676</v>
      </c>
      <c r="Q142" s="110" t="s">
        <v>784</v>
      </c>
      <c r="R142" s="55"/>
      <c r="S142" s="7">
        <v>1</v>
      </c>
      <c r="T142" s="77" t="s">
        <v>142</v>
      </c>
      <c r="U142" s="111" t="s">
        <v>783</v>
      </c>
      <c r="V142" s="30">
        <v>20089800</v>
      </c>
      <c r="W142" s="7">
        <v>1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30">
        <v>12615306</v>
      </c>
      <c r="AF142" s="112" t="s">
        <v>783</v>
      </c>
      <c r="AG142" s="61">
        <v>0</v>
      </c>
      <c r="AH142" s="61">
        <v>0</v>
      </c>
      <c r="AI142" s="61">
        <v>1</v>
      </c>
      <c r="AJ142" s="61">
        <v>1</v>
      </c>
      <c r="AK142" s="61">
        <v>0</v>
      </c>
      <c r="AL142" s="64">
        <v>6839405</v>
      </c>
      <c r="AM142" s="64">
        <v>36687574</v>
      </c>
    </row>
    <row r="143" spans="1:39" ht="18" customHeight="1">
      <c r="A143" s="86" t="s">
        <v>413</v>
      </c>
      <c r="B143" s="87" t="s">
        <v>414</v>
      </c>
      <c r="C143" s="82" t="s">
        <v>409</v>
      </c>
      <c r="D143" s="82" t="s">
        <v>404</v>
      </c>
      <c r="E143" s="65" t="str">
        <f>HYPERLINK("https://ictv.global/taxonomy/taxondetails?taxnode_id=202300162","202300162")</f>
        <v>202300162</v>
      </c>
      <c r="F143" s="83">
        <v>1</v>
      </c>
      <c r="G143" s="3" t="s">
        <v>775</v>
      </c>
      <c r="H143" s="68" t="s">
        <v>907</v>
      </c>
      <c r="I143" s="84">
        <v>1970</v>
      </c>
      <c r="J143" s="85" t="s">
        <v>143</v>
      </c>
      <c r="K143" s="85" t="s">
        <v>756</v>
      </c>
      <c r="L143" s="76">
        <v>9.5</v>
      </c>
      <c r="M143" s="76">
        <v>-79.400000000000006</v>
      </c>
      <c r="N143" s="66" t="str">
        <f>HYPERLINK("https://www.ncbi.nlm.nih.gov/pubmed/5491847", "5491847")</f>
        <v>5491847</v>
      </c>
      <c r="O143" s="28">
        <v>2</v>
      </c>
      <c r="P143" s="79">
        <v>25934793</v>
      </c>
      <c r="Q143" s="79"/>
      <c r="R143" s="79"/>
      <c r="S143" s="7">
        <v>1</v>
      </c>
      <c r="T143" s="77" t="s">
        <v>154</v>
      </c>
      <c r="U143" s="30">
        <v>2829707</v>
      </c>
      <c r="V143" s="30" t="str">
        <f>HYPERLINK("https://pubmed.ncbi.nlm.nih.gov/36016418/", "36016418")</f>
        <v>36016418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30">
        <v>4206329</v>
      </c>
      <c r="AF143" s="30" t="str">
        <f>HYPERLINK("https://pubmed.ncbi.nlm.nih.gov/31050631/", "31050631")</f>
        <v>31050631</v>
      </c>
      <c r="AG143" s="61">
        <v>0</v>
      </c>
      <c r="AH143" s="61">
        <v>0</v>
      </c>
      <c r="AI143" s="61">
        <v>1</v>
      </c>
      <c r="AJ143" s="61">
        <v>0</v>
      </c>
      <c r="AK143" s="61">
        <v>0</v>
      </c>
      <c r="AL143" s="64">
        <v>19393266</v>
      </c>
      <c r="AM143" s="64"/>
    </row>
    <row r="144" spans="1:39" ht="18" customHeight="1">
      <c r="A144" s="56" t="s">
        <v>980</v>
      </c>
      <c r="B144" s="8" t="s">
        <v>650</v>
      </c>
      <c r="C144" s="8" t="s">
        <v>409</v>
      </c>
      <c r="D144" s="8" t="s">
        <v>404</v>
      </c>
      <c r="E144" s="65" t="str">
        <f>HYPERLINK("https://ictv.global/taxonomy/taxondetails?taxnode_id=202307618","202307618")</f>
        <v>202307618</v>
      </c>
      <c r="F144" s="12">
        <v>1</v>
      </c>
      <c r="G144" s="3" t="s">
        <v>775</v>
      </c>
      <c r="H144" s="68" t="s">
        <v>993</v>
      </c>
      <c r="I144" s="84">
        <v>1985</v>
      </c>
      <c r="J144" s="45" t="s">
        <v>306</v>
      </c>
      <c r="K144" s="85" t="s">
        <v>753</v>
      </c>
      <c r="L144" s="75">
        <v>37.090216259866601</v>
      </c>
      <c r="M144" s="75">
        <v>-8.2478737445087997</v>
      </c>
      <c r="N144" s="66" t="str">
        <f>HYPERLINK("https://www.ncbi.nlm.nih.gov/pubmed/2860406", "2860406")</f>
        <v>2860406</v>
      </c>
      <c r="O144" s="28" t="s">
        <v>81</v>
      </c>
      <c r="P144" s="110" t="s">
        <v>784</v>
      </c>
      <c r="Q144" s="54"/>
      <c r="R144" s="55"/>
      <c r="S144" s="7">
        <v>1</v>
      </c>
      <c r="T144" s="77" t="s">
        <v>142</v>
      </c>
      <c r="U144" s="111" t="s">
        <v>783</v>
      </c>
      <c r="V144" s="30">
        <v>16972358</v>
      </c>
      <c r="W144" s="7">
        <v>0</v>
      </c>
      <c r="X144" s="7">
        <v>0</v>
      </c>
      <c r="Y144" s="7">
        <v>0</v>
      </c>
      <c r="Z144" s="7">
        <v>1</v>
      </c>
      <c r="AA144" s="7">
        <v>0</v>
      </c>
      <c r="AB144" s="7">
        <v>0</v>
      </c>
      <c r="AC144" s="7">
        <v>0</v>
      </c>
      <c r="AD144" s="7">
        <v>0</v>
      </c>
      <c r="AE144" s="112" t="s">
        <v>783</v>
      </c>
      <c r="AF144" s="111" t="s">
        <v>783</v>
      </c>
      <c r="AG144" s="61">
        <v>0</v>
      </c>
      <c r="AH144" s="61">
        <v>0</v>
      </c>
      <c r="AI144" s="61">
        <v>1</v>
      </c>
      <c r="AJ144" s="61">
        <v>1</v>
      </c>
      <c r="AK144" s="61">
        <v>0</v>
      </c>
      <c r="AL144" s="64">
        <v>27400226</v>
      </c>
      <c r="AM144" s="64">
        <v>36687574</v>
      </c>
    </row>
    <row r="145" spans="1:39" ht="18" customHeight="1">
      <c r="A145" s="56" t="s">
        <v>981</v>
      </c>
      <c r="B145" s="8" t="s">
        <v>651</v>
      </c>
      <c r="C145" s="13" t="s">
        <v>417</v>
      </c>
      <c r="D145" s="13" t="s">
        <v>404</v>
      </c>
      <c r="E145" s="65" t="str">
        <f>HYPERLINK("https://ictv.global/taxonomy/taxondetails?taxnode_id=202307571","202307571")</f>
        <v>202307571</v>
      </c>
      <c r="F145" s="12">
        <v>1</v>
      </c>
      <c r="G145" s="3" t="s">
        <v>775</v>
      </c>
      <c r="H145" s="68"/>
      <c r="I145" s="84">
        <v>2021</v>
      </c>
      <c r="J145" s="45" t="s">
        <v>108</v>
      </c>
      <c r="K145" s="85" t="s">
        <v>754</v>
      </c>
      <c r="L145" s="75">
        <v>44.301371331362098</v>
      </c>
      <c r="M145" s="75">
        <v>86.058755081492095</v>
      </c>
      <c r="N145" s="66" t="str">
        <f>HYPERLINK("https://www.ncbi.nlm.nih.gov/pubmed/33496245", "33496245")</f>
        <v>33496245</v>
      </c>
      <c r="O145" s="21">
        <v>2</v>
      </c>
      <c r="P145" s="54" t="str">
        <f>HYPERLINK("https://pubmed.ncbi.nlm.nih.gov/33496245/", "33496245")</f>
        <v>33496245</v>
      </c>
      <c r="Q145" s="54" t="str">
        <f>HYPERLINK("https://pubmed.ncbi.nlm.nih.gov/38870100/", "38870100")</f>
        <v>38870100</v>
      </c>
      <c r="R145" s="55"/>
      <c r="S145" s="7">
        <v>1</v>
      </c>
      <c r="T145" s="77" t="s">
        <v>276</v>
      </c>
      <c r="U145" s="30">
        <v>35133905</v>
      </c>
      <c r="V145" s="30">
        <v>38476950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30">
        <v>33496245</v>
      </c>
      <c r="AF145" s="30">
        <v>38870100</v>
      </c>
      <c r="AG145" s="61">
        <v>0</v>
      </c>
      <c r="AH145" s="61">
        <v>0</v>
      </c>
      <c r="AI145" s="61">
        <v>1</v>
      </c>
      <c r="AJ145" s="61">
        <v>0</v>
      </c>
      <c r="AK145" s="61">
        <v>0</v>
      </c>
      <c r="AL145" s="64">
        <v>33496245</v>
      </c>
      <c r="AM145" s="64">
        <v>38870100</v>
      </c>
    </row>
    <row r="146" spans="1:39" ht="18" customHeight="1">
      <c r="A146" s="86" t="s">
        <v>415</v>
      </c>
      <c r="B146" s="87" t="s">
        <v>416</v>
      </c>
      <c r="C146" s="82" t="s">
        <v>417</v>
      </c>
      <c r="D146" s="82" t="s">
        <v>404</v>
      </c>
      <c r="E146" s="65" t="str">
        <f>HYPERLINK("https://ictv.global/taxonomy/taxondetails?taxnode_id=202300167","202300167")</f>
        <v>202300167</v>
      </c>
      <c r="F146" s="83">
        <v>1</v>
      </c>
      <c r="G146" s="3" t="s">
        <v>775</v>
      </c>
      <c r="H146" s="68" t="s">
        <v>419</v>
      </c>
      <c r="I146" s="84">
        <v>1970</v>
      </c>
      <c r="J146" s="85" t="s">
        <v>418</v>
      </c>
      <c r="K146" s="85" t="s">
        <v>753</v>
      </c>
      <c r="L146" s="76">
        <v>47.873438</v>
      </c>
      <c r="M146" s="76">
        <v>18.191316</v>
      </c>
      <c r="N146" s="66" t="str">
        <f>HYPERLINK("https://www.cabidigitallibrary.org/action/doSearch?AllField=19712700865&amp;target=default&amp;content=dbpubsItems", "Direct link")</f>
        <v>Direct link</v>
      </c>
      <c r="O146" s="28">
        <v>2</v>
      </c>
      <c r="P146" s="54" t="str">
        <f>HYPERLINK("https://www.ncbi.nlm.nih.gov/pubmed/23283959", "23283959")</f>
        <v>23283959</v>
      </c>
      <c r="Q146" s="54" t="str">
        <f>HYPERLINK("https://www.ncbi.nlm.nih.gov/pubmed/907477", "907477")</f>
        <v>907477</v>
      </c>
      <c r="R146" s="54"/>
      <c r="S146" s="7">
        <v>1</v>
      </c>
      <c r="T146" s="77" t="s">
        <v>276</v>
      </c>
      <c r="U146" s="30">
        <v>4122382</v>
      </c>
      <c r="V146" s="53"/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30">
        <v>23239568</v>
      </c>
      <c r="AF146" s="30"/>
      <c r="AG146" s="61">
        <v>0</v>
      </c>
      <c r="AH146" s="61">
        <v>0</v>
      </c>
      <c r="AI146" s="61">
        <v>1</v>
      </c>
      <c r="AJ146" s="61">
        <v>1</v>
      </c>
      <c r="AK146" s="61">
        <v>0</v>
      </c>
      <c r="AL146" s="64">
        <v>23283959</v>
      </c>
      <c r="AM146" s="64"/>
    </row>
    <row r="147" spans="1:39" ht="18" customHeight="1">
      <c r="A147" s="80" t="s">
        <v>694</v>
      </c>
      <c r="B147" s="81" t="s">
        <v>420</v>
      </c>
      <c r="C147" s="82" t="s">
        <v>421</v>
      </c>
      <c r="D147" s="82" t="s">
        <v>422</v>
      </c>
      <c r="E147" s="65" t="str">
        <f>HYPERLINK("https://ictv.global/taxonomy/taxondetails?taxnode_id=202304334","202304334")</f>
        <v>202304334</v>
      </c>
      <c r="F147" s="83">
        <v>0</v>
      </c>
      <c r="G147" s="3" t="s">
        <v>423</v>
      </c>
      <c r="H147" s="68" t="s">
        <v>908</v>
      </c>
      <c r="I147" s="84">
        <v>1988</v>
      </c>
      <c r="J147" s="85" t="s">
        <v>19</v>
      </c>
      <c r="K147" s="85" t="s">
        <v>401</v>
      </c>
      <c r="L147" s="74">
        <v>-22.906846999999999</v>
      </c>
      <c r="M147" s="74">
        <v>-43.172896000000001</v>
      </c>
      <c r="N147" s="66" t="str">
        <f>HYPERLINK("https://www.ncbi.nlm.nih.gov/pubmed/2898672", "2898672")</f>
        <v>2898672</v>
      </c>
      <c r="O147" s="28" t="s">
        <v>81</v>
      </c>
      <c r="P147" s="54" t="str">
        <f>HYPERLINK("https://www.ncbi.nlm.nih.gov/pubmed/14648286", "14648286")</f>
        <v>14648286</v>
      </c>
      <c r="Q147" s="54"/>
      <c r="R147" s="54"/>
      <c r="S147" s="7">
        <v>0</v>
      </c>
      <c r="T147" s="77"/>
      <c r="U147" s="53"/>
      <c r="V147" s="53"/>
      <c r="W147" s="7">
        <v>0</v>
      </c>
      <c r="X147" s="7">
        <v>1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30" t="s">
        <v>424</v>
      </c>
      <c r="AF147" s="30" t="str">
        <f>HYPERLINK("https://pubmed.ncbi.nlm.nih.gov/33659852/", "33659852")</f>
        <v>33659852</v>
      </c>
      <c r="AG147" s="61">
        <v>0</v>
      </c>
      <c r="AH147" s="61">
        <v>0</v>
      </c>
      <c r="AI147" s="61">
        <v>1</v>
      </c>
      <c r="AJ147" s="61">
        <v>0</v>
      </c>
      <c r="AK147" s="61">
        <v>0</v>
      </c>
      <c r="AL147" s="64">
        <v>17245535</v>
      </c>
      <c r="AM147" s="64" t="str">
        <f>HYPERLINK("https://pubmed.ncbi.nlm.nih.gov/33659852/", "33659852")</f>
        <v>33659852</v>
      </c>
    </row>
    <row r="148" spans="1:39" ht="18" customHeight="1">
      <c r="A148" s="86" t="s">
        <v>695</v>
      </c>
      <c r="B148" s="87" t="s">
        <v>425</v>
      </c>
      <c r="C148" s="82" t="s">
        <v>426</v>
      </c>
      <c r="D148" s="82" t="s">
        <v>427</v>
      </c>
      <c r="E148" s="65" t="str">
        <f>HYPERLINK("https://ictv.global/taxonomy/taxondetails?taxnode_id=202301960","202301960")</f>
        <v>202301960</v>
      </c>
      <c r="F148" s="83">
        <v>0</v>
      </c>
      <c r="G148" s="3" t="s">
        <v>776</v>
      </c>
      <c r="H148" s="68" t="s">
        <v>909</v>
      </c>
      <c r="I148" s="84">
        <v>1962</v>
      </c>
      <c r="J148" s="85" t="s">
        <v>61</v>
      </c>
      <c r="K148" s="85" t="s">
        <v>753</v>
      </c>
      <c r="L148" s="76">
        <v>51.408169999999998</v>
      </c>
      <c r="M148" s="76">
        <v>-2.5812999999999999E-2</v>
      </c>
      <c r="N148" s="66" t="str">
        <f>HYPERLINK("https://www.ncbi.nlm.nih.gov/pubmed/14487261", "14487261")</f>
        <v>14487261</v>
      </c>
      <c r="O148" s="28">
        <v>2</v>
      </c>
      <c r="P148" s="54">
        <v>15778036</v>
      </c>
      <c r="Q148" s="54"/>
      <c r="R148" s="54"/>
      <c r="S148" s="7">
        <v>0</v>
      </c>
      <c r="T148" s="77"/>
      <c r="U148" s="53"/>
      <c r="V148" s="53"/>
      <c r="W148" s="7" t="s">
        <v>17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 t="s">
        <v>17</v>
      </c>
      <c r="AE148" s="30" t="s">
        <v>428</v>
      </c>
      <c r="AF148" s="30" t="str">
        <f>HYPERLINK("https://pubmed.ncbi.nlm.nih.gov/32840159/", "32840159")</f>
        <v>32840159</v>
      </c>
      <c r="AG148" s="61">
        <v>0</v>
      </c>
      <c r="AH148" s="61">
        <v>0</v>
      </c>
      <c r="AI148" s="61">
        <v>1</v>
      </c>
      <c r="AJ148" s="61">
        <v>0</v>
      </c>
      <c r="AK148" s="61">
        <v>0</v>
      </c>
      <c r="AL148" s="64">
        <v>15778036</v>
      </c>
      <c r="AM148" s="64"/>
    </row>
    <row r="149" spans="1:39" ht="18" customHeight="1">
      <c r="A149" s="86" t="s">
        <v>696</v>
      </c>
      <c r="B149" s="87" t="s">
        <v>429</v>
      </c>
      <c r="C149" s="82" t="s">
        <v>426</v>
      </c>
      <c r="D149" s="82" t="s">
        <v>427</v>
      </c>
      <c r="E149" s="65" t="str">
        <f>HYPERLINK("https://ictv.global/taxonomy/taxondetails?taxnode_id=202301961","202301961")</f>
        <v>202301961</v>
      </c>
      <c r="F149" s="83">
        <v>0</v>
      </c>
      <c r="G149" s="3" t="s">
        <v>776</v>
      </c>
      <c r="H149" s="68" t="s">
        <v>910</v>
      </c>
      <c r="I149" s="84">
        <v>1965</v>
      </c>
      <c r="J149" s="85" t="s">
        <v>431</v>
      </c>
      <c r="K149" s="85" t="s">
        <v>753</v>
      </c>
      <c r="L149" s="76">
        <v>53.865467000000002</v>
      </c>
      <c r="M149" s="76">
        <v>10.686559000000001</v>
      </c>
      <c r="N149" s="66" t="str">
        <f>HYPERLINK("https://www.ncbi.nlm.nih.gov/pubmed/4290196", "4290196")</f>
        <v>4290196</v>
      </c>
      <c r="O149" s="28">
        <v>2</v>
      </c>
      <c r="P149" s="54">
        <v>4374322</v>
      </c>
      <c r="Q149" s="54"/>
      <c r="R149" s="54"/>
      <c r="S149" s="7">
        <v>0</v>
      </c>
      <c r="T149" s="77"/>
      <c r="U149" s="53"/>
      <c r="V149" s="53"/>
      <c r="W149" s="7" t="s">
        <v>17</v>
      </c>
      <c r="X149" s="7">
        <v>0</v>
      </c>
      <c r="Y149" s="7">
        <v>0</v>
      </c>
      <c r="Z149" s="7">
        <v>0</v>
      </c>
      <c r="AA149" s="7" t="s">
        <v>17</v>
      </c>
      <c r="AB149" s="7" t="s">
        <v>17</v>
      </c>
      <c r="AC149" s="7">
        <v>0</v>
      </c>
      <c r="AD149" s="7" t="s">
        <v>17</v>
      </c>
      <c r="AE149" s="30" t="s">
        <v>430</v>
      </c>
      <c r="AF149" s="30" t="str">
        <f>HYPERLINK("https://pubmed.ncbi.nlm.nih.gov/34586648/", "34586648")</f>
        <v>34586648</v>
      </c>
      <c r="AG149" s="61">
        <v>0</v>
      </c>
      <c r="AH149" s="61">
        <v>0</v>
      </c>
      <c r="AI149" s="61">
        <v>1</v>
      </c>
      <c r="AJ149" s="61">
        <v>0</v>
      </c>
      <c r="AK149" s="61">
        <v>0</v>
      </c>
      <c r="AL149" s="64">
        <v>18834510</v>
      </c>
      <c r="AM149" s="64"/>
    </row>
    <row r="150" spans="1:39" ht="18" customHeight="1">
      <c r="A150" s="86" t="s">
        <v>697</v>
      </c>
      <c r="B150" s="87" t="s">
        <v>432</v>
      </c>
      <c r="C150" s="82" t="s">
        <v>433</v>
      </c>
      <c r="D150" s="82" t="s">
        <v>427</v>
      </c>
      <c r="E150" s="65" t="str">
        <f>HYPERLINK("https://ictv.global/taxonomy/taxondetails?taxnode_id=202301971","202301971")</f>
        <v>202301971</v>
      </c>
      <c r="F150" s="83">
        <v>0</v>
      </c>
      <c r="G150" s="3" t="s">
        <v>776</v>
      </c>
      <c r="H150" s="68"/>
      <c r="I150" s="84">
        <v>1947</v>
      </c>
      <c r="J150" s="85" t="s">
        <v>121</v>
      </c>
      <c r="K150" s="85" t="s">
        <v>754</v>
      </c>
      <c r="L150" s="76">
        <v>14.599512000000001</v>
      </c>
      <c r="M150" s="76">
        <v>120.984219</v>
      </c>
      <c r="N150" s="66" t="str">
        <f>HYPERLINK("https://www.ncbi.nlm.nih.gov/pubmed/20340975", "20340975")</f>
        <v>20340975</v>
      </c>
      <c r="O150" s="28">
        <v>2</v>
      </c>
      <c r="P150" s="54">
        <v>15495931</v>
      </c>
      <c r="Q150" s="54" t="str">
        <f>HYPERLINK("https://www.ncbi.nlm.nih.gov/pubmed/19193786", "19193786")</f>
        <v>19193786</v>
      </c>
      <c r="R150" s="54"/>
      <c r="S150" s="7">
        <v>0</v>
      </c>
      <c r="T150" s="77"/>
      <c r="U150" s="53"/>
      <c r="V150" s="53"/>
      <c r="W150" s="7">
        <v>0</v>
      </c>
      <c r="X150" s="7">
        <v>1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99" t="str">
        <f>HYPERLINK("https://pubmed.ncbi.nlm.nih.gov/22722247/", "22722247")</f>
        <v>22722247</v>
      </c>
      <c r="AF150" s="30" t="str">
        <f>HYPERLINK("https://pubmed.ncbi.nlm.nih.gov/36631510/", "36631510")</f>
        <v>36631510</v>
      </c>
      <c r="AG150" s="61">
        <v>0</v>
      </c>
      <c r="AH150" s="61">
        <v>1</v>
      </c>
      <c r="AI150" s="61">
        <v>1</v>
      </c>
      <c r="AJ150" s="61">
        <v>0</v>
      </c>
      <c r="AK150" s="61">
        <v>0</v>
      </c>
      <c r="AL150" s="64">
        <v>9833886</v>
      </c>
      <c r="AM150" s="64">
        <v>21323673</v>
      </c>
    </row>
    <row r="151" spans="1:39" ht="18" customHeight="1">
      <c r="A151" s="56" t="s">
        <v>982</v>
      </c>
      <c r="B151" s="8" t="s">
        <v>652</v>
      </c>
      <c r="C151" s="13" t="s">
        <v>433</v>
      </c>
      <c r="D151" s="13" t="s">
        <v>427</v>
      </c>
      <c r="E151" s="65" t="str">
        <f>HYPERLINK("https://ictv.global/taxonomy/taxondetails?taxnode_id=202307104","202307104")</f>
        <v>202307104</v>
      </c>
      <c r="F151" s="12">
        <v>0</v>
      </c>
      <c r="G151" s="3" t="s">
        <v>776</v>
      </c>
      <c r="H151" s="68" t="s">
        <v>994</v>
      </c>
      <c r="I151" s="84">
        <v>2007</v>
      </c>
      <c r="J151" s="45" t="s">
        <v>29</v>
      </c>
      <c r="K151" s="85" t="s">
        <v>755</v>
      </c>
      <c r="L151" s="75">
        <v>32.749519261773401</v>
      </c>
      <c r="M151" s="75">
        <v>-117.083843871491</v>
      </c>
      <c r="N151" s="66" t="str">
        <f>HYPERLINK("https://www.ncbi.nlm.nih.gov/pubmed/17460053", "17460053")</f>
        <v>17460053</v>
      </c>
      <c r="O151" s="21">
        <v>2</v>
      </c>
      <c r="P151" s="54" t="str">
        <f>HYPERLINK("https://pubmed.ncbi.nlm.nih.gov/17460053/", "17460053")</f>
        <v>17460053</v>
      </c>
      <c r="Q151" s="54"/>
      <c r="R151" s="55"/>
      <c r="S151" s="7">
        <v>0</v>
      </c>
      <c r="T151" s="77"/>
      <c r="U151" s="30">
        <v>27723176</v>
      </c>
      <c r="V151" s="53"/>
      <c r="W151" s="7">
        <v>0</v>
      </c>
      <c r="X151" s="7" t="s">
        <v>17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30">
        <v>27723176</v>
      </c>
      <c r="AF151" s="30">
        <v>17460053</v>
      </c>
      <c r="AG151" s="61">
        <v>0</v>
      </c>
      <c r="AH151" s="61">
        <v>0</v>
      </c>
      <c r="AI151" s="61" t="s">
        <v>17</v>
      </c>
      <c r="AJ151" s="61">
        <v>0</v>
      </c>
      <c r="AK151" s="61">
        <v>0</v>
      </c>
      <c r="AL151" s="64">
        <v>27723176</v>
      </c>
      <c r="AM151" s="64">
        <v>22114344</v>
      </c>
    </row>
    <row r="152" spans="1:39" ht="18" customHeight="1">
      <c r="A152" s="86" t="s">
        <v>698</v>
      </c>
      <c r="B152" s="87" t="s">
        <v>434</v>
      </c>
      <c r="C152" s="82" t="s">
        <v>433</v>
      </c>
      <c r="D152" s="82" t="s">
        <v>427</v>
      </c>
      <c r="E152" s="65" t="str">
        <f>HYPERLINK("https://ictv.global/taxonomy/taxondetails?taxnode_id=202301972","202301972")</f>
        <v>202301972</v>
      </c>
      <c r="F152" s="83">
        <v>0</v>
      </c>
      <c r="G152" s="3" t="s">
        <v>776</v>
      </c>
      <c r="H152" s="68" t="s">
        <v>911</v>
      </c>
      <c r="I152" s="84">
        <v>1963</v>
      </c>
      <c r="J152" s="85" t="s">
        <v>748</v>
      </c>
      <c r="K152" s="85" t="s">
        <v>754</v>
      </c>
      <c r="L152" s="76">
        <v>63.754399999999997</v>
      </c>
      <c r="M152" s="76">
        <v>121.6173</v>
      </c>
      <c r="N152" s="66" t="str">
        <f>HYPERLINK("https://www.ncbi.nlm.nih.gov/pubmed/14087883", "14087883")</f>
        <v>14087883</v>
      </c>
      <c r="O152" s="58">
        <v>2</v>
      </c>
      <c r="P152" s="54" t="str">
        <f>HYPERLINK("https://www.ncbi.nlm.nih.gov/pubmed/19193786", "19193786")</f>
        <v>19193786</v>
      </c>
      <c r="Q152" s="54">
        <v>28446680</v>
      </c>
      <c r="R152" s="54"/>
      <c r="S152" s="7">
        <v>0</v>
      </c>
      <c r="T152" s="77"/>
      <c r="U152" s="53"/>
      <c r="V152" s="53"/>
      <c r="W152" s="7">
        <v>0</v>
      </c>
      <c r="X152" s="7">
        <v>1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30" t="str">
        <f>HYPERLINK("https://pubmed.ncbi.nlm.nih.gov/18768820/", "18768820")</f>
        <v>18768820</v>
      </c>
      <c r="AF152" s="30"/>
      <c r="AG152" s="61">
        <v>0</v>
      </c>
      <c r="AH152" s="61">
        <v>0</v>
      </c>
      <c r="AI152" s="61">
        <v>1</v>
      </c>
      <c r="AJ152" s="61">
        <v>0</v>
      </c>
      <c r="AK152" s="61">
        <v>0</v>
      </c>
      <c r="AL152" s="64">
        <v>20410900</v>
      </c>
      <c r="AM152" s="64"/>
    </row>
    <row r="153" spans="1:39" ht="18" customHeight="1">
      <c r="A153" s="80" t="s">
        <v>699</v>
      </c>
      <c r="B153" s="81" t="s">
        <v>435</v>
      </c>
      <c r="C153" s="82" t="s">
        <v>436</v>
      </c>
      <c r="D153" s="82" t="s">
        <v>427</v>
      </c>
      <c r="E153" s="65" t="str">
        <f>HYPERLINK("https://ictv.global/taxonomy/taxondetails?taxnode_id=202301975","202301975")</f>
        <v>202301975</v>
      </c>
      <c r="F153" s="83">
        <v>0</v>
      </c>
      <c r="G153" s="3" t="s">
        <v>776</v>
      </c>
      <c r="H153" s="68" t="s">
        <v>912</v>
      </c>
      <c r="I153" s="84">
        <v>2008</v>
      </c>
      <c r="J153" s="85" t="s">
        <v>438</v>
      </c>
      <c r="K153" s="85" t="s">
        <v>754</v>
      </c>
      <c r="L153" s="74">
        <v>29.5</v>
      </c>
      <c r="M153" s="74">
        <v>71.5</v>
      </c>
      <c r="N153" s="66" t="str">
        <f>HYPERLINK("https://www.ncbi.nlm.nih.gov/pubmed/19033469", "19033469")</f>
        <v>19033469</v>
      </c>
      <c r="O153" s="58" t="s">
        <v>60</v>
      </c>
      <c r="P153" s="54" t="str">
        <f>HYPERLINK("https://www.ncbi.nlm.nih.gov/pubmed/22615791", "22615791")</f>
        <v>22615791</v>
      </c>
      <c r="Q153" s="54" t="str">
        <f>HYPERLINK("https://pubmed.ncbi.nlm.nih.gov/35154606/", "35154606")</f>
        <v>35154606</v>
      </c>
      <c r="R153" s="54"/>
      <c r="S153" s="7">
        <v>0</v>
      </c>
      <c r="T153" s="77"/>
      <c r="U153" s="53"/>
      <c r="V153" s="53"/>
      <c r="W153" s="7">
        <v>0</v>
      </c>
      <c r="X153" s="7" t="s">
        <v>17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30" t="s">
        <v>437</v>
      </c>
      <c r="AF153" s="30">
        <v>19033469</v>
      </c>
      <c r="AG153" s="61">
        <v>1</v>
      </c>
      <c r="AH153" s="61">
        <v>0</v>
      </c>
      <c r="AI153" s="61">
        <v>0</v>
      </c>
      <c r="AJ153" s="61">
        <v>0</v>
      </c>
      <c r="AK153" s="61">
        <v>0</v>
      </c>
      <c r="AL153" s="64">
        <v>19033469</v>
      </c>
      <c r="AM153" s="64">
        <v>22615791</v>
      </c>
    </row>
    <row r="154" spans="1:39" ht="18" customHeight="1">
      <c r="A154" s="80" t="s">
        <v>700</v>
      </c>
      <c r="B154" s="81" t="s">
        <v>439</v>
      </c>
      <c r="C154" s="82" t="s">
        <v>436</v>
      </c>
      <c r="D154" s="82" t="s">
        <v>427</v>
      </c>
      <c r="E154" s="65" t="str">
        <f>HYPERLINK("https://ictv.global/taxonomy/taxondetails?taxnode_id=202301976","202301976")</f>
        <v>202301976</v>
      </c>
      <c r="F154" s="83">
        <v>0</v>
      </c>
      <c r="G154" s="3" t="s">
        <v>776</v>
      </c>
      <c r="H154" s="68"/>
      <c r="I154" s="84">
        <v>2008</v>
      </c>
      <c r="J154" s="85" t="s">
        <v>438</v>
      </c>
      <c r="K154" s="85" t="s">
        <v>754</v>
      </c>
      <c r="L154" s="74">
        <v>29.5</v>
      </c>
      <c r="M154" s="74">
        <v>71.5</v>
      </c>
      <c r="N154" s="66" t="str">
        <f>HYPERLINK("https://www.ncbi.nlm.nih.gov/pubmed/19033469", "19033469")</f>
        <v>19033469</v>
      </c>
      <c r="O154" s="58" t="s">
        <v>60</v>
      </c>
      <c r="P154" s="54" t="str">
        <f>HYPERLINK("https://www.ncbi.nlm.nih.gov/pubmed/22615791", "22615791")</f>
        <v>22615791</v>
      </c>
      <c r="Q154" s="54" t="str">
        <f>HYPERLINK("https://pubmed.ncbi.nlm.nih.gov/35154606/", "35154606")</f>
        <v>35154606</v>
      </c>
      <c r="R154" s="54"/>
      <c r="S154" s="7">
        <v>0</v>
      </c>
      <c r="T154" s="77"/>
      <c r="U154" s="53"/>
      <c r="V154" s="53"/>
      <c r="W154" s="7">
        <v>0</v>
      </c>
      <c r="X154" s="7" t="s">
        <v>17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30" t="s">
        <v>437</v>
      </c>
      <c r="AF154" s="30">
        <v>19033469</v>
      </c>
      <c r="AG154" s="61">
        <v>1</v>
      </c>
      <c r="AH154" s="61">
        <v>0</v>
      </c>
      <c r="AI154" s="61">
        <v>0</v>
      </c>
      <c r="AJ154" s="61">
        <v>0</v>
      </c>
      <c r="AK154" s="61">
        <v>0</v>
      </c>
      <c r="AL154" s="64">
        <v>19033469</v>
      </c>
      <c r="AM154" s="64">
        <v>22615791</v>
      </c>
    </row>
    <row r="155" spans="1:39" ht="18" customHeight="1">
      <c r="A155" s="80" t="s">
        <v>701</v>
      </c>
      <c r="B155" s="81" t="s">
        <v>440</v>
      </c>
      <c r="C155" s="82" t="s">
        <v>436</v>
      </c>
      <c r="D155" s="82" t="s">
        <v>427</v>
      </c>
      <c r="E155" s="65" t="str">
        <f>HYPERLINK("https://ictv.global/taxonomy/taxondetails?taxnode_id=202301977","202301977")</f>
        <v>202301977</v>
      </c>
      <c r="F155" s="83">
        <v>0</v>
      </c>
      <c r="G155" s="3" t="s">
        <v>776</v>
      </c>
      <c r="H155" s="68" t="s">
        <v>913</v>
      </c>
      <c r="I155" s="84">
        <v>2008</v>
      </c>
      <c r="J155" s="85" t="s">
        <v>438</v>
      </c>
      <c r="K155" s="85" t="s">
        <v>754</v>
      </c>
      <c r="L155" s="74">
        <v>29.5</v>
      </c>
      <c r="M155" s="74">
        <v>71.5</v>
      </c>
      <c r="N155" s="66" t="str">
        <f>HYPERLINK("https://www.ncbi.nlm.nih.gov/pubmed/19033469", "19033469")</f>
        <v>19033469</v>
      </c>
      <c r="O155" s="58" t="s">
        <v>60</v>
      </c>
      <c r="P155" s="54" t="str">
        <f>HYPERLINK("https://www.ncbi.nlm.nih.gov/pubmed/22615791", "22615791")</f>
        <v>22615791</v>
      </c>
      <c r="Q155" s="54" t="str">
        <f>HYPERLINK("https://pubmed.ncbi.nlm.nih.gov/35154606/", "35154606")</f>
        <v>35154606</v>
      </c>
      <c r="R155" s="54"/>
      <c r="S155" s="7">
        <v>0</v>
      </c>
      <c r="T155" s="77"/>
      <c r="U155" s="53"/>
      <c r="V155" s="53"/>
      <c r="W155" s="7">
        <v>0</v>
      </c>
      <c r="X155" s="7" t="s">
        <v>17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30" t="s">
        <v>437</v>
      </c>
      <c r="AF155" s="30">
        <v>19033469</v>
      </c>
      <c r="AG155" s="61">
        <v>1</v>
      </c>
      <c r="AH155" s="61">
        <v>0</v>
      </c>
      <c r="AI155" s="61">
        <v>0</v>
      </c>
      <c r="AJ155" s="61">
        <v>0</v>
      </c>
      <c r="AK155" s="61">
        <v>0</v>
      </c>
      <c r="AL155" s="64">
        <v>19033469</v>
      </c>
      <c r="AM155" s="64">
        <v>22615791</v>
      </c>
    </row>
    <row r="156" spans="1:39" ht="18" customHeight="1">
      <c r="A156" s="86" t="s">
        <v>702</v>
      </c>
      <c r="B156" s="87" t="s">
        <v>441</v>
      </c>
      <c r="C156" s="82" t="s">
        <v>436</v>
      </c>
      <c r="D156" s="82" t="s">
        <v>427</v>
      </c>
      <c r="E156" s="65" t="str">
        <f>HYPERLINK("https://ictv.global/taxonomy/taxondetails?taxnode_id=202301978","202301978")</f>
        <v>202301978</v>
      </c>
      <c r="F156" s="83">
        <v>0</v>
      </c>
      <c r="G156" s="3" t="s">
        <v>776</v>
      </c>
      <c r="H156" s="68"/>
      <c r="I156" s="84">
        <v>2008</v>
      </c>
      <c r="J156" s="85" t="s">
        <v>66</v>
      </c>
      <c r="K156" s="85" t="s">
        <v>752</v>
      </c>
      <c r="L156" s="76">
        <v>-37.813628000000001</v>
      </c>
      <c r="M156" s="76">
        <v>144.96305799999999</v>
      </c>
      <c r="N156" s="66" t="str">
        <f>HYPERLINK("https://www.ncbi.nlm.nih.gov/pubmed/19102772", "19102772")</f>
        <v>19102772</v>
      </c>
      <c r="O156" s="58" t="s">
        <v>60</v>
      </c>
      <c r="P156" s="54" t="str">
        <f>HYPERLINK("https://www.ncbi.nlm.nih.gov/pubmed/22615791", "22615791")</f>
        <v>22615791</v>
      </c>
      <c r="Q156" s="54" t="str">
        <f>HYPERLINK("https://pubmed.ncbi.nlm.nih.gov/35154606/", "35154606")</f>
        <v>35154606</v>
      </c>
      <c r="R156" s="54"/>
      <c r="S156" s="7">
        <v>0</v>
      </c>
      <c r="T156" s="77"/>
      <c r="U156" s="53"/>
      <c r="V156" s="53"/>
      <c r="W156" s="7">
        <v>0</v>
      </c>
      <c r="X156" s="7" t="s">
        <v>17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30" t="s">
        <v>437</v>
      </c>
      <c r="AF156" s="30">
        <v>19033469</v>
      </c>
      <c r="AG156" s="61">
        <v>1</v>
      </c>
      <c r="AH156" s="61">
        <v>0</v>
      </c>
      <c r="AI156" s="61">
        <v>0</v>
      </c>
      <c r="AJ156" s="61">
        <v>0</v>
      </c>
      <c r="AK156" s="61">
        <v>0</v>
      </c>
      <c r="AL156" s="64">
        <v>22615791</v>
      </c>
      <c r="AM156" s="64"/>
    </row>
    <row r="157" spans="1:39" ht="18" customHeight="1">
      <c r="A157" s="86" t="s">
        <v>703</v>
      </c>
      <c r="B157" s="87" t="s">
        <v>442</v>
      </c>
      <c r="C157" s="82" t="s">
        <v>436</v>
      </c>
      <c r="D157" s="82" t="s">
        <v>427</v>
      </c>
      <c r="E157" s="65" t="str">
        <f>HYPERLINK("https://ictv.global/taxonomy/taxondetails?taxnode_id=202301979","202301979")</f>
        <v>202301979</v>
      </c>
      <c r="F157" s="83">
        <v>0</v>
      </c>
      <c r="G157" s="3" t="s">
        <v>776</v>
      </c>
      <c r="H157" s="68" t="s">
        <v>914</v>
      </c>
      <c r="I157" s="84">
        <v>2012</v>
      </c>
      <c r="J157" s="85" t="s">
        <v>438</v>
      </c>
      <c r="K157" s="85" t="s">
        <v>754</v>
      </c>
      <c r="L157" s="76">
        <v>33.684421999999998</v>
      </c>
      <c r="M157" s="76">
        <v>73.047882000000001</v>
      </c>
      <c r="N157" s="66" t="str">
        <f>HYPERLINK("https://www.ncbi.nlm.nih.gov/pubmed/22615791", "22615791")</f>
        <v>22615791</v>
      </c>
      <c r="O157" s="58" t="s">
        <v>60</v>
      </c>
      <c r="P157" s="54" t="str">
        <f>HYPERLINK("https://www.ncbi.nlm.nih.gov/pubmed/22615791", "22615791")</f>
        <v>22615791</v>
      </c>
      <c r="Q157" s="54" t="str">
        <f>HYPERLINK("https://pubmed.ncbi.nlm.nih.gov/35154606/", "35154606")</f>
        <v>35154606</v>
      </c>
      <c r="R157" s="54"/>
      <c r="S157" s="7">
        <v>0</v>
      </c>
      <c r="T157" s="77"/>
      <c r="U157" s="53"/>
      <c r="V157" s="53"/>
      <c r="W157" s="7">
        <v>0</v>
      </c>
      <c r="X157" s="7" t="s">
        <v>17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30" t="s">
        <v>437</v>
      </c>
      <c r="AF157" s="30">
        <v>19033469</v>
      </c>
      <c r="AG157" s="61">
        <v>1</v>
      </c>
      <c r="AH157" s="61">
        <v>0</v>
      </c>
      <c r="AI157" s="61">
        <v>0</v>
      </c>
      <c r="AJ157" s="61">
        <v>0</v>
      </c>
      <c r="AK157" s="61">
        <v>0</v>
      </c>
      <c r="AL157" s="64">
        <v>22615791</v>
      </c>
      <c r="AM157" s="64"/>
    </row>
    <row r="158" spans="1:39" ht="18" customHeight="1">
      <c r="A158" s="86" t="s">
        <v>704</v>
      </c>
      <c r="B158" s="87" t="s">
        <v>443</v>
      </c>
      <c r="C158" s="82" t="s">
        <v>444</v>
      </c>
      <c r="D158" s="82" t="s">
        <v>427</v>
      </c>
      <c r="E158" s="65" t="str">
        <f>HYPERLINK("https://ictv.global/taxonomy/taxondetails?taxnode_id=202301983","202301983")</f>
        <v>202301983</v>
      </c>
      <c r="F158" s="83">
        <v>0</v>
      </c>
      <c r="G158" s="3" t="s">
        <v>776</v>
      </c>
      <c r="H158" s="68" t="s">
        <v>915</v>
      </c>
      <c r="I158" s="84">
        <v>1949</v>
      </c>
      <c r="J158" s="85" t="s">
        <v>29</v>
      </c>
      <c r="K158" s="85" t="s">
        <v>755</v>
      </c>
      <c r="L158" s="76">
        <v>43.299427999999999</v>
      </c>
      <c r="M158" s="76">
        <v>-74.217933000000002</v>
      </c>
      <c r="N158" s="66" t="str">
        <f>HYPERLINK("https://www.ncbi.nlm.nih.gov/pubmed/15391667", "15391667")</f>
        <v>15391667</v>
      </c>
      <c r="O158" s="28" t="s">
        <v>81</v>
      </c>
      <c r="P158" s="54">
        <v>26374168</v>
      </c>
      <c r="Q158" s="54">
        <v>28081564</v>
      </c>
      <c r="R158" s="54"/>
      <c r="S158" s="7">
        <v>0</v>
      </c>
      <c r="T158" s="77"/>
      <c r="U158" s="53"/>
      <c r="V158" s="53"/>
      <c r="W158" s="7">
        <v>1</v>
      </c>
      <c r="X158" s="7">
        <v>1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30" t="str">
        <f>HYPERLINK("https://pubmed.ncbi.nlm.nih.gov/5415578/", "5415578")</f>
        <v>5415578</v>
      </c>
      <c r="AF158" s="30" t="str">
        <f>HYPERLINK("https://pubmed.ncbi.nlm.nih.gov/24019771/", "24019771")</f>
        <v>24019771</v>
      </c>
      <c r="AG158" s="61">
        <v>0</v>
      </c>
      <c r="AH158" s="61">
        <v>1</v>
      </c>
      <c r="AI158" s="61">
        <v>0</v>
      </c>
      <c r="AJ158" s="61">
        <v>0</v>
      </c>
      <c r="AK158" s="61">
        <v>0</v>
      </c>
      <c r="AL158" s="64">
        <v>16943351</v>
      </c>
      <c r="AM158" s="64">
        <v>23097448</v>
      </c>
    </row>
    <row r="159" spans="1:39" ht="18" customHeight="1">
      <c r="A159" s="86" t="s">
        <v>705</v>
      </c>
      <c r="B159" s="87" t="s">
        <v>445</v>
      </c>
      <c r="C159" s="82" t="s">
        <v>444</v>
      </c>
      <c r="D159" s="82" t="s">
        <v>427</v>
      </c>
      <c r="E159" s="65" t="str">
        <f>HYPERLINK("https://ictv.global/taxonomy/taxondetails?taxnode_id=202301993","202301993")</f>
        <v>202301993</v>
      </c>
      <c r="F159" s="83">
        <v>0</v>
      </c>
      <c r="G159" s="3" t="s">
        <v>776</v>
      </c>
      <c r="H159" s="68" t="s">
        <v>916</v>
      </c>
      <c r="I159" s="84">
        <v>1953</v>
      </c>
      <c r="J159" s="85" t="s">
        <v>61</v>
      </c>
      <c r="K159" s="85" t="s">
        <v>753</v>
      </c>
      <c r="L159" s="76">
        <v>51.068784999999998</v>
      </c>
      <c r="M159" s="76">
        <v>-1.7944720000000001</v>
      </c>
      <c r="N159" s="66" t="str">
        <f>HYPERLINK("https://www.ncbi.nlm.nih.gov/pubmed/13097995", "13097995")</f>
        <v>13097995</v>
      </c>
      <c r="O159" s="28" t="s">
        <v>60</v>
      </c>
      <c r="P159" s="54" t="str">
        <f>HYPERLINK("https://www.ncbi.nlm.nih.gov/pubmed/15983926", "15983926")</f>
        <v>15983926</v>
      </c>
      <c r="Q159" s="54" t="str">
        <f>HYPERLINK("https://www.ncbi.nlm.nih.gov/pubmed/23677786", "23677786")</f>
        <v>23677786</v>
      </c>
      <c r="R159" s="54"/>
      <c r="S159" s="7">
        <v>0</v>
      </c>
      <c r="T159" s="77"/>
      <c r="U159" s="53"/>
      <c r="V159" s="53"/>
      <c r="W159" s="7">
        <v>1</v>
      </c>
      <c r="X159" s="7">
        <v>0</v>
      </c>
      <c r="Y159" s="7">
        <v>0</v>
      </c>
      <c r="Z159" s="7">
        <v>0</v>
      </c>
      <c r="AA159" s="7">
        <v>1</v>
      </c>
      <c r="AB159" s="7">
        <v>0</v>
      </c>
      <c r="AC159" s="7">
        <v>0</v>
      </c>
      <c r="AD159" s="7">
        <v>1</v>
      </c>
      <c r="AE159" s="30">
        <v>6261689</v>
      </c>
      <c r="AF159" s="30" t="str">
        <f>HYPERLINK("https://pubmed.ncbi.nlm.nih.gov/31350695/", "31350695")</f>
        <v>31350695</v>
      </c>
      <c r="AG159" s="61">
        <v>1</v>
      </c>
      <c r="AH159" s="61">
        <v>0</v>
      </c>
      <c r="AI159" s="61">
        <v>0</v>
      </c>
      <c r="AJ159" s="61">
        <v>0</v>
      </c>
      <c r="AK159" s="61">
        <v>0</v>
      </c>
      <c r="AL159" s="64">
        <v>6312099</v>
      </c>
      <c r="AM159" s="64"/>
    </row>
    <row r="160" spans="1:39" ht="18" customHeight="1">
      <c r="A160" s="86" t="s">
        <v>706</v>
      </c>
      <c r="B160" s="87" t="s">
        <v>446</v>
      </c>
      <c r="C160" s="82" t="s">
        <v>444</v>
      </c>
      <c r="D160" s="82" t="s">
        <v>427</v>
      </c>
      <c r="E160" s="65" t="str">
        <f>HYPERLINK("https://ictv.global/taxonomy/taxondetails?taxnode_id=202301984","202301984")</f>
        <v>202301984</v>
      </c>
      <c r="F160" s="83">
        <v>0</v>
      </c>
      <c r="G160" s="3" t="s">
        <v>776</v>
      </c>
      <c r="H160" s="68"/>
      <c r="I160" s="84">
        <v>1949</v>
      </c>
      <c r="J160" s="85" t="s">
        <v>29</v>
      </c>
      <c r="K160" s="85" t="s">
        <v>755</v>
      </c>
      <c r="L160" s="76">
        <v>39.739072</v>
      </c>
      <c r="M160" s="76">
        <v>-75.539788000000001</v>
      </c>
      <c r="N160" s="66" t="str">
        <f>HYPERLINK("https://www.ncbi.nlm.nih.gov/pubmed/15391667", "15391667")</f>
        <v>15391667</v>
      </c>
      <c r="O160" s="28" t="s">
        <v>81</v>
      </c>
      <c r="P160" s="54" t="str">
        <f>HYPERLINK("https://www.ncbi.nlm.nih.gov/pubmed/9675466", "9675466")</f>
        <v>9675466</v>
      </c>
      <c r="Q160" s="54" t="str">
        <f>HYPERLINK("https://www.ncbi.nlm.nih.gov/pubmed/2621458", "2621458")</f>
        <v>2621458</v>
      </c>
      <c r="R160" s="54"/>
      <c r="S160" s="7">
        <v>0</v>
      </c>
      <c r="T160" s="77"/>
      <c r="U160" s="53"/>
      <c r="V160" s="53"/>
      <c r="W160" s="7">
        <v>1</v>
      </c>
      <c r="X160" s="7">
        <v>1</v>
      </c>
      <c r="Y160" s="7">
        <v>0</v>
      </c>
      <c r="Z160" s="7">
        <v>0</v>
      </c>
      <c r="AA160" s="7">
        <v>0</v>
      </c>
      <c r="AB160" s="7">
        <v>0</v>
      </c>
      <c r="AC160" s="7">
        <v>1</v>
      </c>
      <c r="AD160" s="7">
        <v>0</v>
      </c>
      <c r="AE160" s="30">
        <v>26053872</v>
      </c>
      <c r="AF160" s="30" t="str">
        <f>HYPERLINK("https://pubmed.ncbi.nlm.nih.gov/31904449/", "31904449")</f>
        <v>31904449</v>
      </c>
      <c r="AG160" s="61">
        <v>0</v>
      </c>
      <c r="AH160" s="61">
        <v>1</v>
      </c>
      <c r="AI160" s="61">
        <v>1</v>
      </c>
      <c r="AJ160" s="61">
        <v>0</v>
      </c>
      <c r="AK160" s="61">
        <v>0</v>
      </c>
      <c r="AL160" s="64">
        <v>23097448</v>
      </c>
      <c r="AM160" s="64"/>
    </row>
    <row r="161" spans="1:39" ht="18" customHeight="1">
      <c r="A161" s="86" t="s">
        <v>707</v>
      </c>
      <c r="B161" s="87" t="s">
        <v>447</v>
      </c>
      <c r="C161" s="82" t="s">
        <v>444</v>
      </c>
      <c r="D161" s="82" t="s">
        <v>427</v>
      </c>
      <c r="E161" s="65" t="str">
        <f>HYPERLINK("https://ictv.global/taxonomy/taxondetails?taxnode_id=202301994","202301994")</f>
        <v>202301994</v>
      </c>
      <c r="F161" s="83">
        <v>0</v>
      </c>
      <c r="G161" s="3" t="s">
        <v>776</v>
      </c>
      <c r="H161" s="68" t="s">
        <v>917</v>
      </c>
      <c r="I161" s="84">
        <v>1960</v>
      </c>
      <c r="J161" s="85" t="s">
        <v>61</v>
      </c>
      <c r="K161" s="85" t="s">
        <v>753</v>
      </c>
      <c r="L161" s="76">
        <v>51.068784999999998</v>
      </c>
      <c r="M161" s="76">
        <v>-1.7944720000000001</v>
      </c>
      <c r="N161" s="66" t="str">
        <f>HYPERLINK("https://www.ncbi.nlm.nih.gov/pubmed/13840115", "13840115")</f>
        <v>13840115</v>
      </c>
      <c r="O161" s="28" t="s">
        <v>60</v>
      </c>
      <c r="P161" s="54" t="str">
        <f>HYPERLINK("https://www.ncbi.nlm.nih.gov/pubmed/23677786", "23677786")</f>
        <v>23677786</v>
      </c>
      <c r="Q161" s="54"/>
      <c r="R161" s="54"/>
      <c r="S161" s="7">
        <v>0</v>
      </c>
      <c r="T161" s="77"/>
      <c r="U161" s="53"/>
      <c r="V161" s="53"/>
      <c r="W161" s="7">
        <v>1</v>
      </c>
      <c r="X161" s="7">
        <v>0</v>
      </c>
      <c r="Y161" s="7">
        <v>0</v>
      </c>
      <c r="Z161" s="7">
        <v>0</v>
      </c>
      <c r="AA161" s="7">
        <v>1</v>
      </c>
      <c r="AB161" s="7">
        <v>0</v>
      </c>
      <c r="AC161" s="7">
        <v>0</v>
      </c>
      <c r="AD161" s="7">
        <v>1</v>
      </c>
      <c r="AE161" s="30">
        <v>6261689</v>
      </c>
      <c r="AF161" s="30" t="str">
        <f>HYPERLINK("https://pubmed.ncbi.nlm.nih.gov/31350695/", "31350695")</f>
        <v>31350695</v>
      </c>
      <c r="AG161" s="61">
        <v>1</v>
      </c>
      <c r="AH161" s="61">
        <v>0</v>
      </c>
      <c r="AI161" s="61">
        <v>0</v>
      </c>
      <c r="AJ161" s="61">
        <v>0</v>
      </c>
      <c r="AK161" s="61">
        <v>0</v>
      </c>
      <c r="AL161" s="64">
        <v>6312099</v>
      </c>
      <c r="AM161" s="64"/>
    </row>
    <row r="162" spans="1:39" ht="18" customHeight="1">
      <c r="A162" s="86" t="s">
        <v>645</v>
      </c>
      <c r="B162" s="87" t="s">
        <v>448</v>
      </c>
      <c r="C162" s="82" t="s">
        <v>444</v>
      </c>
      <c r="D162" s="82" t="s">
        <v>427</v>
      </c>
      <c r="E162" s="65" t="str">
        <f>HYPERLINK("https://ictv.global/taxonomy/taxondetails?taxnode_id=202301995","202301995")</f>
        <v>202301995</v>
      </c>
      <c r="F162" s="83">
        <v>0</v>
      </c>
      <c r="G162" s="3" t="s">
        <v>776</v>
      </c>
      <c r="H162" s="68" t="s">
        <v>918</v>
      </c>
      <c r="I162" s="84">
        <v>2006</v>
      </c>
      <c r="J162" s="72" t="s">
        <v>29</v>
      </c>
      <c r="K162" s="85" t="s">
        <v>755</v>
      </c>
      <c r="L162" s="75">
        <v>40.712775999999998</v>
      </c>
      <c r="M162" s="75">
        <v>-74.005973999999995</v>
      </c>
      <c r="N162" s="66" t="str">
        <f>HYPERLINK("https://www.ncbi.nlm.nih.gov/pubmed/17054069 ", "17054069 ")</f>
        <v xml:space="preserve">17054069 </v>
      </c>
      <c r="O162" s="58" t="s">
        <v>60</v>
      </c>
      <c r="P162" s="54">
        <v>29186347</v>
      </c>
      <c r="Q162" s="54">
        <v>29350142</v>
      </c>
      <c r="R162" s="54"/>
      <c r="S162" s="7">
        <v>0</v>
      </c>
      <c r="T162" s="77"/>
      <c r="U162" s="53"/>
      <c r="V162" s="53"/>
      <c r="W162" s="7">
        <v>1</v>
      </c>
      <c r="X162" s="7">
        <v>0</v>
      </c>
      <c r="Y162" s="7">
        <v>0</v>
      </c>
      <c r="Z162" s="7">
        <v>0</v>
      </c>
      <c r="AA162" s="7">
        <v>1</v>
      </c>
      <c r="AB162" s="7">
        <v>0</v>
      </c>
      <c r="AC162" s="7">
        <v>0</v>
      </c>
      <c r="AD162" s="7">
        <v>1</v>
      </c>
      <c r="AE162" s="30">
        <v>6261689</v>
      </c>
      <c r="AF162" s="30" t="str">
        <f>HYPERLINK("https://pubmed.ncbi.nlm.nih.gov/31350695/", "31350695")</f>
        <v>31350695</v>
      </c>
      <c r="AG162" s="61">
        <v>1</v>
      </c>
      <c r="AH162" s="61">
        <v>0</v>
      </c>
      <c r="AI162" s="61">
        <v>0</v>
      </c>
      <c r="AJ162" s="61">
        <v>0</v>
      </c>
      <c r="AK162" s="61">
        <v>0</v>
      </c>
      <c r="AL162" s="64">
        <v>6312099</v>
      </c>
      <c r="AM162" s="64"/>
    </row>
    <row r="163" spans="1:39" ht="18" customHeight="1">
      <c r="A163" s="86" t="s">
        <v>708</v>
      </c>
      <c r="B163" s="87" t="s">
        <v>449</v>
      </c>
      <c r="C163" s="82" t="s">
        <v>444</v>
      </c>
      <c r="D163" s="82" t="s">
        <v>427</v>
      </c>
      <c r="E163" s="65" t="str">
        <f>HYPERLINK("https://ictv.global/taxonomy/taxondetails?taxnode_id=202301985","202301985")</f>
        <v>202301985</v>
      </c>
      <c r="F163" s="83">
        <v>0</v>
      </c>
      <c r="G163" s="3" t="s">
        <v>776</v>
      </c>
      <c r="H163" s="68" t="s">
        <v>919</v>
      </c>
      <c r="I163" s="84">
        <v>1909</v>
      </c>
      <c r="J163" s="85" t="s">
        <v>29</v>
      </c>
      <c r="K163" s="85" t="s">
        <v>755</v>
      </c>
      <c r="L163" s="76">
        <v>40.712775000000001</v>
      </c>
      <c r="M163" s="76">
        <v>-74.005972999999997</v>
      </c>
      <c r="N163" s="66" t="str">
        <f>HYPERLINK("https://pubmed.ncbi.nlm.nih.gov/6348316/", "6348316")</f>
        <v>6348316</v>
      </c>
      <c r="O163" s="28" t="s">
        <v>81</v>
      </c>
      <c r="P163" s="54" t="str">
        <f>HYPERLINK("https://www.ncbi.nlm.nih.gov/pubmed/2821678", "2821678")</f>
        <v>2821678</v>
      </c>
      <c r="Q163" s="54"/>
      <c r="R163" s="54"/>
      <c r="S163" s="7">
        <v>0</v>
      </c>
      <c r="T163" s="77"/>
      <c r="U163" s="53"/>
      <c r="V163" s="53"/>
      <c r="W163" s="7">
        <v>1</v>
      </c>
      <c r="X163" s="7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30">
        <v>9203732</v>
      </c>
      <c r="AF163" s="30"/>
      <c r="AG163" s="61">
        <v>0</v>
      </c>
      <c r="AH163" s="61">
        <v>1</v>
      </c>
      <c r="AI163" s="61">
        <v>1</v>
      </c>
      <c r="AJ163" s="61">
        <v>0</v>
      </c>
      <c r="AK163" s="61">
        <v>0</v>
      </c>
      <c r="AL163" s="64">
        <v>25079078</v>
      </c>
      <c r="AM163" s="64">
        <v>9071037</v>
      </c>
    </row>
    <row r="164" spans="1:39" ht="18" customHeight="1">
      <c r="A164" s="86" t="s">
        <v>709</v>
      </c>
      <c r="B164" s="87" t="s">
        <v>450</v>
      </c>
      <c r="C164" s="82" t="s">
        <v>444</v>
      </c>
      <c r="D164" s="82" t="s">
        <v>427</v>
      </c>
      <c r="E164" s="65" t="str">
        <f>HYPERLINK("https://ictv.global/taxonomy/taxondetails?taxnode_id=202301986","202301986")</f>
        <v>202301986</v>
      </c>
      <c r="F164" s="83">
        <v>0</v>
      </c>
      <c r="G164" s="3" t="s">
        <v>776</v>
      </c>
      <c r="H164" s="68" t="s">
        <v>920</v>
      </c>
      <c r="I164" s="84">
        <v>1967</v>
      </c>
      <c r="J164" s="85" t="s">
        <v>29</v>
      </c>
      <c r="K164" s="85" t="s">
        <v>755</v>
      </c>
      <c r="L164" s="76">
        <v>37.871592999999997</v>
      </c>
      <c r="M164" s="76">
        <v>-122.272747</v>
      </c>
      <c r="N164" s="66" t="str">
        <f>HYPERLINK("https://www.ncbi.nlm.nih.gov/pubmed/4960233", "4960233")</f>
        <v>4960233</v>
      </c>
      <c r="O164" s="28" t="s">
        <v>81</v>
      </c>
      <c r="P164" s="54">
        <v>29186347</v>
      </c>
      <c r="Q164" s="54">
        <v>21345956</v>
      </c>
      <c r="R164" s="54"/>
      <c r="S164" s="7">
        <v>0</v>
      </c>
      <c r="T164" s="77"/>
      <c r="U164" s="53"/>
      <c r="V164" s="53"/>
      <c r="W164" s="7">
        <v>1</v>
      </c>
      <c r="X164" s="7">
        <v>1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30">
        <v>28367789</v>
      </c>
      <c r="AF164" s="30"/>
      <c r="AG164" s="61">
        <v>0</v>
      </c>
      <c r="AH164" s="61">
        <v>1</v>
      </c>
      <c r="AI164" s="61">
        <v>0</v>
      </c>
      <c r="AJ164" s="61">
        <v>0</v>
      </c>
      <c r="AK164" s="61">
        <v>0</v>
      </c>
      <c r="AL164" s="64">
        <v>21345956</v>
      </c>
      <c r="AM164" s="64"/>
    </row>
    <row r="165" spans="1:39" ht="18" customHeight="1">
      <c r="A165" s="86" t="s">
        <v>710</v>
      </c>
      <c r="B165" s="87" t="s">
        <v>451</v>
      </c>
      <c r="C165" s="82" t="s">
        <v>444</v>
      </c>
      <c r="D165" s="82" t="s">
        <v>427</v>
      </c>
      <c r="E165" s="65" t="str">
        <f>HYPERLINK("https://ictv.global/taxonomy/taxondetails?taxnode_id=202301987","202301987")</f>
        <v>202301987</v>
      </c>
      <c r="F165" s="83">
        <v>0</v>
      </c>
      <c r="G165" s="3" t="s">
        <v>776</v>
      </c>
      <c r="H165" s="68" t="s">
        <v>921</v>
      </c>
      <c r="I165" s="84">
        <v>1961</v>
      </c>
      <c r="J165" s="85" t="s">
        <v>29</v>
      </c>
      <c r="K165" s="85" t="s">
        <v>755</v>
      </c>
      <c r="L165" s="76">
        <v>39.739235999999998</v>
      </c>
      <c r="M165" s="76">
        <v>-104.990251</v>
      </c>
      <c r="N165" s="66" t="str">
        <f>HYPERLINK("https://www.ncbi.nlm.nih.gov/pubmed/13773015", "13773015")</f>
        <v>13773015</v>
      </c>
      <c r="O165" s="28">
        <v>2</v>
      </c>
      <c r="P165" s="54" t="str">
        <f>HYPERLINK("https://www.ncbi.nlm.nih.gov/pubmed/13773015", "13773015")</f>
        <v>13773015</v>
      </c>
      <c r="Q165" s="54"/>
      <c r="R165" s="54"/>
      <c r="S165" s="7">
        <v>0</v>
      </c>
      <c r="T165" s="77"/>
      <c r="U165" s="53"/>
      <c r="V165" s="53"/>
      <c r="W165" s="7" t="s">
        <v>17</v>
      </c>
      <c r="X165" s="7" t="s">
        <v>17</v>
      </c>
      <c r="Y165" s="7">
        <v>0</v>
      </c>
      <c r="Z165" s="7">
        <v>0</v>
      </c>
      <c r="AA165" s="7">
        <v>0</v>
      </c>
      <c r="AB165" s="60">
        <v>0</v>
      </c>
      <c r="AC165" s="60">
        <v>0</v>
      </c>
      <c r="AD165" s="7">
        <v>0</v>
      </c>
      <c r="AE165" s="30">
        <v>28367789</v>
      </c>
      <c r="AF165" s="30"/>
      <c r="AG165" s="61">
        <v>0</v>
      </c>
      <c r="AH165" s="61">
        <v>0</v>
      </c>
      <c r="AI165" s="61">
        <v>1</v>
      </c>
      <c r="AJ165" s="61">
        <v>0</v>
      </c>
      <c r="AK165" s="61">
        <v>0</v>
      </c>
      <c r="AL165" s="64">
        <v>24830424</v>
      </c>
      <c r="AM165" s="64"/>
    </row>
    <row r="166" spans="1:39" ht="18" customHeight="1">
      <c r="A166" s="86" t="s">
        <v>711</v>
      </c>
      <c r="B166" s="87" t="s">
        <v>452</v>
      </c>
      <c r="C166" s="82" t="s">
        <v>444</v>
      </c>
      <c r="D166" s="82" t="s">
        <v>427</v>
      </c>
      <c r="E166" s="65" t="str">
        <f>HYPERLINK("https://ictv.global/taxonomy/taxondetails?taxnode_id=202301990","202301990")</f>
        <v>202301990</v>
      </c>
      <c r="F166" s="83">
        <v>0</v>
      </c>
      <c r="G166" s="3" t="s">
        <v>776</v>
      </c>
      <c r="H166" s="68" t="s">
        <v>922</v>
      </c>
      <c r="I166" s="84">
        <v>1965</v>
      </c>
      <c r="J166" s="85" t="s">
        <v>750</v>
      </c>
      <c r="K166" s="85" t="s">
        <v>754</v>
      </c>
      <c r="L166" s="76">
        <v>37.663997999999999</v>
      </c>
      <c r="M166" s="76">
        <v>127.97846199999999</v>
      </c>
      <c r="N166" s="66" t="str">
        <f>HYPERLINK("https://www.ncbi.nlm.nih.gov/pubmed/14301854", "14301854")</f>
        <v>14301854</v>
      </c>
      <c r="O166" s="28">
        <v>2</v>
      </c>
      <c r="P166" s="54" t="str">
        <f>HYPERLINK("https://www.ncbi.nlm.nih.gov/pubmed/10873759", "10873759")</f>
        <v>10873759</v>
      </c>
      <c r="Q166" s="54"/>
      <c r="R166" s="54"/>
      <c r="S166" s="7">
        <v>0</v>
      </c>
      <c r="T166" s="77"/>
      <c r="U166" s="53"/>
      <c r="V166" s="53"/>
      <c r="W166" s="7" t="s">
        <v>17</v>
      </c>
      <c r="X166" s="7" t="s">
        <v>17</v>
      </c>
      <c r="Y166" s="7">
        <v>0</v>
      </c>
      <c r="Z166" s="7">
        <v>0</v>
      </c>
      <c r="AA166" s="7">
        <v>0</v>
      </c>
      <c r="AB166" s="60">
        <v>0</v>
      </c>
      <c r="AC166" s="60">
        <v>0</v>
      </c>
      <c r="AD166" s="7">
        <v>0</v>
      </c>
      <c r="AE166" s="30" t="str">
        <f>HYPERLINK("https://pubmed.ncbi.nlm.nih.gov/36342660/", "36342660")</f>
        <v>36342660</v>
      </c>
      <c r="AF166" s="30"/>
      <c r="AG166" s="61">
        <v>0</v>
      </c>
      <c r="AH166" s="61">
        <v>1</v>
      </c>
      <c r="AI166" s="61">
        <v>0</v>
      </c>
      <c r="AJ166" s="61">
        <v>0</v>
      </c>
      <c r="AK166" s="61">
        <v>0</v>
      </c>
      <c r="AL166" s="64" t="str">
        <f>HYPERLINK("https://www.ncbi.nlm.nih.gov/pubmed/10873759", "10873759")</f>
        <v>10873759</v>
      </c>
      <c r="AM166" s="64" t="str">
        <f>HYPERLINK("https://www.ncbi.nlm.nih.gov/pubmed/18024906", "18024906")</f>
        <v>18024906</v>
      </c>
    </row>
    <row r="167" spans="1:39" ht="18" customHeight="1">
      <c r="A167" s="86" t="s">
        <v>453</v>
      </c>
      <c r="B167" s="87" t="s">
        <v>454</v>
      </c>
      <c r="C167" s="82" t="s">
        <v>455</v>
      </c>
      <c r="D167" s="82" t="s">
        <v>427</v>
      </c>
      <c r="E167" s="65" t="str">
        <f>HYPERLINK("https://ictv.global/taxonomy/taxondetails?taxnode_id=202301997","202301997")</f>
        <v>202301997</v>
      </c>
      <c r="F167" s="83">
        <v>0</v>
      </c>
      <c r="G167" s="3" t="s">
        <v>776</v>
      </c>
      <c r="H167" s="68" t="s">
        <v>923</v>
      </c>
      <c r="I167" s="84">
        <v>2005</v>
      </c>
      <c r="J167" s="85" t="s">
        <v>456</v>
      </c>
      <c r="K167" s="85" t="s">
        <v>753</v>
      </c>
      <c r="L167" s="76">
        <v>47.359344</v>
      </c>
      <c r="M167" s="76">
        <v>14.469982999999999</v>
      </c>
      <c r="N167" s="66" t="str">
        <f>HYPERLINK("https://www.ncbi.nlm.nih.gov/pubmed/15778036", "15778036")</f>
        <v>15778036</v>
      </c>
      <c r="O167" s="28">
        <v>2</v>
      </c>
      <c r="P167" s="54">
        <v>15778036</v>
      </c>
      <c r="Q167" s="54"/>
      <c r="R167" s="54"/>
      <c r="S167" s="7">
        <v>0</v>
      </c>
      <c r="T167" s="77"/>
      <c r="U167" s="53"/>
      <c r="V167" s="53"/>
      <c r="W167" s="7" t="s">
        <v>17</v>
      </c>
      <c r="X167" s="7" t="s">
        <v>17</v>
      </c>
      <c r="Y167" s="7">
        <v>0</v>
      </c>
      <c r="Z167" s="7">
        <v>0</v>
      </c>
      <c r="AA167" s="7">
        <v>0</v>
      </c>
      <c r="AB167" s="60">
        <v>0</v>
      </c>
      <c r="AC167" s="60">
        <v>0</v>
      </c>
      <c r="AD167" s="7">
        <v>0</v>
      </c>
      <c r="AE167" s="30" t="s">
        <v>428</v>
      </c>
      <c r="AF167" s="30" t="str">
        <f>HYPERLINK("https://pubmed.ncbi.nlm.nih.gov/27267372/", "27267372")</f>
        <v>27267372</v>
      </c>
      <c r="AG167" s="61">
        <v>0</v>
      </c>
      <c r="AH167" s="61">
        <v>0</v>
      </c>
      <c r="AI167" s="61">
        <v>1</v>
      </c>
      <c r="AJ167" s="61">
        <v>0</v>
      </c>
      <c r="AK167" s="61">
        <v>0</v>
      </c>
      <c r="AL167" s="64">
        <v>23960171</v>
      </c>
      <c r="AM167" s="64"/>
    </row>
    <row r="168" spans="1:39" ht="18" customHeight="1">
      <c r="A168" s="86" t="s">
        <v>712</v>
      </c>
      <c r="B168" s="87" t="s">
        <v>457</v>
      </c>
      <c r="C168" s="82" t="s">
        <v>458</v>
      </c>
      <c r="D168" s="82" t="s">
        <v>427</v>
      </c>
      <c r="E168" s="65" t="str">
        <f>HYPERLINK("https://ictv.global/taxonomy/taxondetails?taxnode_id=202302003","202302003")</f>
        <v>202302003</v>
      </c>
      <c r="F168" s="83">
        <v>0</v>
      </c>
      <c r="G168" s="3" t="s">
        <v>776</v>
      </c>
      <c r="H168" s="68" t="s">
        <v>924</v>
      </c>
      <c r="I168" s="84">
        <v>1973</v>
      </c>
      <c r="J168" s="85" t="s">
        <v>29</v>
      </c>
      <c r="K168" s="85" t="s">
        <v>755</v>
      </c>
      <c r="L168" s="76">
        <v>38.984651999999997</v>
      </c>
      <c r="M168" s="76">
        <v>-77.094708999999995</v>
      </c>
      <c r="N168" s="66" t="str">
        <f>HYPERLINK("https://www.ncbi.nlm.nih.gov/pubmed/4356028", "4356028")</f>
        <v>4356028</v>
      </c>
      <c r="O168" s="28" t="s">
        <v>81</v>
      </c>
      <c r="P168" s="54">
        <v>19161728</v>
      </c>
      <c r="Q168" s="54">
        <v>29380396</v>
      </c>
      <c r="R168" s="54"/>
      <c r="S168" s="7">
        <v>0</v>
      </c>
      <c r="T168" s="77"/>
      <c r="U168" s="53"/>
      <c r="V168" s="53"/>
      <c r="W168" s="7">
        <v>0</v>
      </c>
      <c r="X168" s="7">
        <v>1</v>
      </c>
      <c r="Y168" s="7">
        <v>1</v>
      </c>
      <c r="Z168" s="7">
        <v>1</v>
      </c>
      <c r="AA168" s="7">
        <v>0</v>
      </c>
      <c r="AB168" s="7">
        <v>1</v>
      </c>
      <c r="AC168" s="7">
        <v>0</v>
      </c>
      <c r="AD168" s="7">
        <v>1</v>
      </c>
      <c r="AE168" s="30" t="str">
        <f>HYPERLINK("https://pubmed.ncbi.nlm.nih.gov/37738564/", "37738564")</f>
        <v>37738564</v>
      </c>
      <c r="AF168" s="30" t="str">
        <f>HYPERLINK("https://pubmed.ncbi.nlm.nih.gov/38278704/", "38278704")</f>
        <v>38278704</v>
      </c>
      <c r="AG168" s="61">
        <v>0</v>
      </c>
      <c r="AH168" s="61">
        <v>1</v>
      </c>
      <c r="AI168" s="61">
        <v>0</v>
      </c>
      <c r="AJ168" s="61">
        <v>0</v>
      </c>
      <c r="AK168" s="61">
        <v>0</v>
      </c>
      <c r="AL168" s="64">
        <v>26575627</v>
      </c>
      <c r="AM168" s="64"/>
    </row>
    <row r="169" spans="1:39" ht="18" customHeight="1">
      <c r="A169" s="86" t="s">
        <v>713</v>
      </c>
      <c r="B169" s="87" t="s">
        <v>459</v>
      </c>
      <c r="C169" s="82" t="s">
        <v>460</v>
      </c>
      <c r="D169" s="82" t="s">
        <v>427</v>
      </c>
      <c r="E169" s="65" t="str">
        <f>HYPERLINK("https://ictv.global/taxonomy/taxondetails?taxnode_id=202302015","202302015")</f>
        <v>202302015</v>
      </c>
      <c r="F169" s="83">
        <v>0</v>
      </c>
      <c r="G169" s="3" t="s">
        <v>776</v>
      </c>
      <c r="H169" s="68" t="s">
        <v>925</v>
      </c>
      <c r="I169" s="84">
        <v>1991</v>
      </c>
      <c r="J169" s="85" t="s">
        <v>87</v>
      </c>
      <c r="K169" s="85" t="s">
        <v>754</v>
      </c>
      <c r="L169" s="76">
        <v>35.180188000000001</v>
      </c>
      <c r="M169" s="76">
        <v>136.906565</v>
      </c>
      <c r="N169" s="66" t="str">
        <f>HYPERLINK("https://www.ncbi.nlm.nih.gov/pubmed/1658159", "1658159")</f>
        <v>1658159</v>
      </c>
      <c r="O169" s="28" t="s">
        <v>81</v>
      </c>
      <c r="P169" s="54" t="str">
        <f>HYPERLINK("https://www.ncbi.nlm.nih.gov/pubmed/18842942", "18842942")</f>
        <v>18842942</v>
      </c>
      <c r="Q169" s="54"/>
      <c r="R169" s="54"/>
      <c r="S169" s="7">
        <v>0</v>
      </c>
      <c r="T169" s="77"/>
      <c r="U169" s="53"/>
      <c r="V169" s="53"/>
      <c r="W169" s="7">
        <v>0</v>
      </c>
      <c r="X169" s="7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1</v>
      </c>
      <c r="AE169" s="30">
        <v>25996404</v>
      </c>
      <c r="AF169" s="30" t="str">
        <f>HYPERLINK("https://pubmed.ncbi.nlm.nih.gov/31382225/", "31382225")</f>
        <v>31382225</v>
      </c>
      <c r="AG169" s="61">
        <v>0</v>
      </c>
      <c r="AH169" s="61">
        <v>0</v>
      </c>
      <c r="AI169" s="61">
        <v>1</v>
      </c>
      <c r="AJ169" s="61">
        <v>0</v>
      </c>
      <c r="AK169" s="61">
        <v>0</v>
      </c>
      <c r="AL169" s="64">
        <v>25996404</v>
      </c>
      <c r="AM169" s="64" t="str">
        <f>HYPERLINK("https://pubmed.ncbi.nlm.nih.gov/36125316/", "36125316")</f>
        <v>36125316</v>
      </c>
    </row>
    <row r="170" spans="1:39" ht="18" customHeight="1">
      <c r="A170" s="86" t="s">
        <v>714</v>
      </c>
      <c r="B170" s="87" t="s">
        <v>461</v>
      </c>
      <c r="C170" s="82" t="s">
        <v>462</v>
      </c>
      <c r="D170" s="82" t="s">
        <v>427</v>
      </c>
      <c r="E170" s="65" t="str">
        <f>HYPERLINK("https://ictv.global/taxonomy/taxondetails?taxnode_id=202302038", "202302038")</f>
        <v>202302038</v>
      </c>
      <c r="F170" s="83">
        <v>0</v>
      </c>
      <c r="G170" s="3" t="s">
        <v>776</v>
      </c>
      <c r="H170" s="68" t="s">
        <v>926</v>
      </c>
      <c r="I170" s="84">
        <v>1958</v>
      </c>
      <c r="J170" s="85" t="s">
        <v>29</v>
      </c>
      <c r="K170" s="85" t="s">
        <v>755</v>
      </c>
      <c r="L170" s="76">
        <v>39.103118000000002</v>
      </c>
      <c r="M170" s="76">
        <v>-84.512020000000007</v>
      </c>
      <c r="N170" s="66" t="str">
        <f>HYPERLINK("https://www.ncbi.nlm.nih.gov/pubmed/13538681", "13538681")</f>
        <v>13538681</v>
      </c>
      <c r="O170" s="28" t="s">
        <v>81</v>
      </c>
      <c r="P170" s="54">
        <v>24690382</v>
      </c>
      <c r="Q170" s="54">
        <v>23097447</v>
      </c>
      <c r="R170" s="54"/>
      <c r="S170" s="7">
        <v>0</v>
      </c>
      <c r="T170" s="77"/>
      <c r="U170" s="53"/>
      <c r="V170" s="53"/>
      <c r="W170" s="7">
        <v>1</v>
      </c>
      <c r="X170" s="7">
        <v>1</v>
      </c>
      <c r="Y170" s="7">
        <v>0</v>
      </c>
      <c r="Z170" s="7">
        <v>0</v>
      </c>
      <c r="AA170" s="7">
        <v>0</v>
      </c>
      <c r="AB170" s="7">
        <v>0</v>
      </c>
      <c r="AC170" s="7">
        <v>1</v>
      </c>
      <c r="AD170" s="7">
        <v>0</v>
      </c>
      <c r="AE170" s="30" t="str">
        <f>HYPERLINK("https://pubmed.ncbi.nlm.nih.gov/28511987/", "28511987")</f>
        <v>28511987</v>
      </c>
      <c r="AF170" s="30" t="str">
        <f>HYPERLINK("https://pubmed.ncbi.nlm.nih.gov/38635913/", "38635913")</f>
        <v>38635913</v>
      </c>
      <c r="AG170" s="61">
        <v>0</v>
      </c>
      <c r="AH170" s="61">
        <v>1</v>
      </c>
      <c r="AI170" s="61">
        <v>0</v>
      </c>
      <c r="AJ170" s="61">
        <v>0</v>
      </c>
      <c r="AK170" s="61">
        <v>0</v>
      </c>
      <c r="AL170" s="64">
        <v>17311340</v>
      </c>
      <c r="AM170" s="64">
        <v>20587198</v>
      </c>
    </row>
    <row r="171" spans="1:39" ht="18" customHeight="1">
      <c r="A171" s="86" t="s">
        <v>715</v>
      </c>
      <c r="B171" s="87" t="s">
        <v>463</v>
      </c>
      <c r="C171" s="82" t="s">
        <v>462</v>
      </c>
      <c r="D171" s="82" t="s">
        <v>427</v>
      </c>
      <c r="E171" s="65" t="str">
        <f>HYPERLINK("https://ictv.global/taxonomy/taxondetails?taxnode_id=202302039","202302039")</f>
        <v>202302039</v>
      </c>
      <c r="F171" s="83">
        <v>0</v>
      </c>
      <c r="G171" s="3" t="s">
        <v>776</v>
      </c>
      <c r="H171" s="68" t="s">
        <v>927</v>
      </c>
      <c r="I171" s="84">
        <v>2003</v>
      </c>
      <c r="J171" s="85" t="s">
        <v>464</v>
      </c>
      <c r="K171" s="85" t="s">
        <v>753</v>
      </c>
      <c r="L171" s="76">
        <v>59.329323000000002</v>
      </c>
      <c r="M171" s="76">
        <v>18.068580999999998</v>
      </c>
      <c r="N171" s="66" t="str">
        <f>HYPERLINK("https://www.ncbi.nlm.nih.gov/pubmed/12745669", "12745669")</f>
        <v>12745669</v>
      </c>
      <c r="O171" s="28">
        <v>2</v>
      </c>
      <c r="P171" s="54">
        <v>23852812</v>
      </c>
      <c r="Q171" s="54" t="str">
        <f>HYPERLINK("https://pubmed.ncbi.nlm.nih.gov/34020728/", "34020728")</f>
        <v>34020728</v>
      </c>
      <c r="R171" s="54" t="str">
        <f>HYPERLINK("https://pubmed.ncbi.nlm.nih.gov/26489898/", "26489898")</f>
        <v>26489898</v>
      </c>
      <c r="S171" s="7">
        <v>0</v>
      </c>
      <c r="T171" s="77"/>
      <c r="U171" s="53"/>
      <c r="V171" s="53"/>
      <c r="W171" s="7">
        <v>0</v>
      </c>
      <c r="X171" s="7" t="s">
        <v>17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30" t="str">
        <f>HYPERLINK("https://pubmed.ncbi.nlm.nih.gov/34372523/", "34372523")</f>
        <v>34372523</v>
      </c>
      <c r="AF171" s="30" t="str">
        <f>HYPERLINK("https://pubmed.ncbi.nlm.nih.gov/38658526/", "38658526")</f>
        <v>38658526</v>
      </c>
      <c r="AG171" s="61">
        <v>0</v>
      </c>
      <c r="AH171" s="61">
        <v>1</v>
      </c>
      <c r="AI171" s="61">
        <v>1</v>
      </c>
      <c r="AJ171" s="61">
        <v>0</v>
      </c>
      <c r="AK171" s="61">
        <v>0</v>
      </c>
      <c r="AL171" s="64">
        <v>17311340</v>
      </c>
      <c r="AM171" s="64">
        <v>23665770</v>
      </c>
    </row>
    <row r="172" spans="1:39" ht="18" customHeight="1">
      <c r="A172" s="86" t="s">
        <v>716</v>
      </c>
      <c r="B172" s="87" t="s">
        <v>465</v>
      </c>
      <c r="C172" s="82" t="s">
        <v>466</v>
      </c>
      <c r="D172" s="82" t="s">
        <v>427</v>
      </c>
      <c r="E172" s="65" t="str">
        <f>HYPERLINK("https://ictv.global/taxonomy/taxondetails?taxnode_id=202302055","202302055")</f>
        <v>202302055</v>
      </c>
      <c r="F172" s="83">
        <v>0</v>
      </c>
      <c r="G172" s="3" t="s">
        <v>776</v>
      </c>
      <c r="H172" s="68" t="s">
        <v>928</v>
      </c>
      <c r="I172" s="84">
        <v>2009</v>
      </c>
      <c r="J172" s="85" t="s">
        <v>29</v>
      </c>
      <c r="K172" s="85" t="s">
        <v>755</v>
      </c>
      <c r="L172" s="76">
        <v>38.837522</v>
      </c>
      <c r="M172" s="76">
        <v>-120.895824</v>
      </c>
      <c r="N172" s="66" t="str">
        <f>HYPERLINK("https://www.ncbi.nlm.nih.gov/pubmed/19538752", "19538752")</f>
        <v>19538752</v>
      </c>
      <c r="O172" s="58" t="s">
        <v>60</v>
      </c>
      <c r="P172" s="54">
        <v>27641729</v>
      </c>
      <c r="Q172" s="54">
        <v>19759142</v>
      </c>
      <c r="R172" s="54"/>
      <c r="S172" s="7">
        <v>0</v>
      </c>
      <c r="T172" s="77"/>
      <c r="U172" s="53"/>
      <c r="V172" s="53"/>
      <c r="W172" s="7">
        <v>0</v>
      </c>
      <c r="X172" s="7">
        <v>1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30" t="str">
        <f>HYPERLINK("https://pubmed.ncbi.nlm.nih.gov/33690212/", "33690212")</f>
        <v>33690212</v>
      </c>
      <c r="AF172" s="30" t="str">
        <f>HYPERLINK("https://pubmed.ncbi.nlm.nih.gov/34271206/", "34271206")</f>
        <v>34271206</v>
      </c>
      <c r="AG172" s="61">
        <v>1</v>
      </c>
      <c r="AH172" s="61">
        <v>0</v>
      </c>
      <c r="AI172" s="61">
        <v>0</v>
      </c>
      <c r="AJ172" s="61">
        <v>0</v>
      </c>
      <c r="AK172" s="61">
        <v>0</v>
      </c>
      <c r="AL172" s="64">
        <v>25889358</v>
      </c>
      <c r="AM172" s="64">
        <v>27641729</v>
      </c>
    </row>
    <row r="173" spans="1:39" ht="18" customHeight="1">
      <c r="A173" s="86" t="s">
        <v>717</v>
      </c>
      <c r="B173" s="87" t="s">
        <v>467</v>
      </c>
      <c r="C173" s="82" t="s">
        <v>468</v>
      </c>
      <c r="D173" s="82" t="s">
        <v>469</v>
      </c>
      <c r="E173" s="65" t="str">
        <f>HYPERLINK("https://ictv.global/taxonomy/taxondetails?taxnode_id=202301647","202301647")</f>
        <v>202301647</v>
      </c>
      <c r="F173" s="83">
        <v>1</v>
      </c>
      <c r="G173" s="3" t="s">
        <v>774</v>
      </c>
      <c r="H173" s="68" t="s">
        <v>929</v>
      </c>
      <c r="I173" s="84">
        <v>2011</v>
      </c>
      <c r="J173" s="85" t="s">
        <v>29</v>
      </c>
      <c r="K173" s="85" t="s">
        <v>755</v>
      </c>
      <c r="L173" s="76">
        <v>35.149534000000003</v>
      </c>
      <c r="M173" s="76">
        <v>-90.04898</v>
      </c>
      <c r="N173" s="66" t="str">
        <f>HYPERLINK("https://www.ncbi.nlm.nih.gov/pubmed/21736487", "21736487")</f>
        <v>21736487</v>
      </c>
      <c r="O173" s="28">
        <v>2</v>
      </c>
      <c r="P173" s="54">
        <v>21736487</v>
      </c>
      <c r="Q173" s="54"/>
      <c r="R173" s="54"/>
      <c r="S173" s="7">
        <v>0</v>
      </c>
      <c r="T173" s="77"/>
      <c r="U173" s="53"/>
      <c r="V173" s="53"/>
      <c r="W173" s="7" t="s">
        <v>17</v>
      </c>
      <c r="X173" s="7">
        <v>0</v>
      </c>
      <c r="Y173" s="7">
        <v>0</v>
      </c>
      <c r="Z173" s="7">
        <v>0</v>
      </c>
      <c r="AA173" s="7">
        <v>0</v>
      </c>
      <c r="AB173" s="60">
        <v>0</v>
      </c>
      <c r="AC173" s="60">
        <v>0</v>
      </c>
      <c r="AD173" s="7">
        <v>0</v>
      </c>
      <c r="AE173" s="30">
        <v>24637582</v>
      </c>
      <c r="AF173" s="30" t="str">
        <f>HYPERLINK("https://pubmed.ncbi.nlm.nih.gov/37764199/", "37764199")</f>
        <v>37764199</v>
      </c>
      <c r="AG173" s="61">
        <v>0</v>
      </c>
      <c r="AH173" s="61">
        <v>0</v>
      </c>
      <c r="AI173" s="61">
        <v>0</v>
      </c>
      <c r="AJ173" s="61">
        <v>1</v>
      </c>
      <c r="AK173" s="61">
        <v>0</v>
      </c>
      <c r="AL173" s="64">
        <v>23763901</v>
      </c>
      <c r="AM173" s="64">
        <v>24756465</v>
      </c>
    </row>
    <row r="174" spans="1:39" ht="18" customHeight="1">
      <c r="A174" s="86" t="s">
        <v>718</v>
      </c>
      <c r="B174" s="87" t="s">
        <v>470</v>
      </c>
      <c r="C174" s="82" t="s">
        <v>468</v>
      </c>
      <c r="D174" s="82" t="s">
        <v>469</v>
      </c>
      <c r="E174" s="65" t="str">
        <f>HYPERLINK("https://ictv.global/taxonomy/taxondetails?taxnode_id=202301648","202301648")</f>
        <v>202301648</v>
      </c>
      <c r="F174" s="83">
        <v>1</v>
      </c>
      <c r="G174" s="3" t="s">
        <v>774</v>
      </c>
      <c r="H174" s="68" t="s">
        <v>930</v>
      </c>
      <c r="I174" s="84">
        <v>2001</v>
      </c>
      <c r="J174" s="85" t="s">
        <v>471</v>
      </c>
      <c r="K174" s="85" t="s">
        <v>753</v>
      </c>
      <c r="L174" s="76">
        <v>51.924419</v>
      </c>
      <c r="M174" s="76">
        <v>4.4777329999999997</v>
      </c>
      <c r="N174" s="66" t="str">
        <f>HYPERLINK("https://www.ncbi.nlm.nih.gov/pubmed/11385510", "11385510")</f>
        <v>11385510</v>
      </c>
      <c r="O174" s="28" t="s">
        <v>81</v>
      </c>
      <c r="P174" s="54" t="str">
        <f>HYPERLINK("https://pubmed.ncbi.nlm.nih.gov/22874773/", "22874773")</f>
        <v>22874773</v>
      </c>
      <c r="Q174" s="54" t="str">
        <f>HYPERLINK("https://pubmed.ncbi.nlm.nih.gov/25417845/", "25417845")</f>
        <v>25417845</v>
      </c>
      <c r="R174" s="54"/>
      <c r="S174" s="7">
        <v>0</v>
      </c>
      <c r="T174" s="77"/>
      <c r="U174" s="53"/>
      <c r="V174" s="53"/>
      <c r="W174" s="7">
        <v>1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30" t="str">
        <f>HYPERLINK("https://pubmed.ncbi.nlm.nih.gov/32092386/", "32092386")</f>
        <v>32092386</v>
      </c>
      <c r="AF174" s="30" t="str">
        <f>HYPERLINK("https://pubmed.ncbi.nlm.nih.gov/35878373/", "35878373")</f>
        <v>35878373</v>
      </c>
      <c r="AG174" s="61">
        <v>0</v>
      </c>
      <c r="AH174" s="61">
        <v>1</v>
      </c>
      <c r="AI174" s="61">
        <v>0</v>
      </c>
      <c r="AJ174" s="61">
        <v>0</v>
      </c>
      <c r="AK174" s="61">
        <v>0</v>
      </c>
      <c r="AL174" s="64">
        <v>25091145</v>
      </c>
      <c r="AM174" s="64">
        <v>25417845</v>
      </c>
    </row>
    <row r="175" spans="1:39" ht="18" customHeight="1">
      <c r="A175" s="86" t="s">
        <v>719</v>
      </c>
      <c r="B175" s="87" t="s">
        <v>472</v>
      </c>
      <c r="C175" s="82" t="s">
        <v>473</v>
      </c>
      <c r="D175" s="82" t="s">
        <v>469</v>
      </c>
      <c r="E175" s="65" t="str">
        <f>HYPERLINK("https://ictv.global/taxonomy/taxondetails?taxnode_id=202301651","202301651")</f>
        <v>202301651</v>
      </c>
      <c r="F175" s="83">
        <v>1</v>
      </c>
      <c r="G175" s="3" t="s">
        <v>774</v>
      </c>
      <c r="H175" s="68" t="s">
        <v>931</v>
      </c>
      <c r="I175" s="84">
        <v>1957</v>
      </c>
      <c r="J175" s="85" t="s">
        <v>29</v>
      </c>
      <c r="K175" s="85" t="s">
        <v>755</v>
      </c>
      <c r="L175" s="76">
        <v>39.290385000000001</v>
      </c>
      <c r="M175" s="76">
        <v>-76.612189000000001</v>
      </c>
      <c r="N175" s="66" t="str">
        <f>HYPERLINK("https://www.ncbi.nlm.nih.gov/pubmed/13478578", "13478578")</f>
        <v>13478578</v>
      </c>
      <c r="O175" s="28" t="s">
        <v>81</v>
      </c>
      <c r="P175" s="54">
        <v>29780032</v>
      </c>
      <c r="Q175" s="54">
        <v>24662675</v>
      </c>
      <c r="R175" s="54"/>
      <c r="S175" s="7">
        <v>0</v>
      </c>
      <c r="T175" s="77"/>
      <c r="U175" s="53"/>
      <c r="V175" s="53"/>
      <c r="W175" s="7">
        <v>1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1</v>
      </c>
      <c r="AD175" s="7">
        <v>0</v>
      </c>
      <c r="AE175" s="30" t="str">
        <f>HYPERLINK("https://pubmed.ncbi.nlm.nih.gov/32338533/", "32338533")</f>
        <v>32338533</v>
      </c>
      <c r="AF175" s="30" t="str">
        <f>HYPERLINK("https://pubmed.ncbi.nlm.nih.gov/38420031/", "38420031")</f>
        <v>38420031</v>
      </c>
      <c r="AG175" s="61">
        <v>0</v>
      </c>
      <c r="AH175" s="61">
        <v>1</v>
      </c>
      <c r="AI175" s="61">
        <v>0</v>
      </c>
      <c r="AJ175" s="61">
        <v>0</v>
      </c>
      <c r="AK175" s="61">
        <v>0</v>
      </c>
      <c r="AL175" s="64">
        <v>22931057</v>
      </c>
      <c r="AM175" s="64" t="str">
        <f>HYPERLINK("https://pubmed.ncbi.nlm.nih.gov/35878373/", "35878373")</f>
        <v>35878373</v>
      </c>
    </row>
    <row r="176" spans="1:39" ht="18" customHeight="1">
      <c r="A176" s="86" t="s">
        <v>720</v>
      </c>
      <c r="B176" s="87" t="s">
        <v>474</v>
      </c>
      <c r="C176" s="82" t="s">
        <v>475</v>
      </c>
      <c r="D176" s="82" t="s">
        <v>476</v>
      </c>
      <c r="E176" s="65" t="str">
        <f>HYPERLINK("https://ictv.global/taxonomy/taxondetails?taxnode_id=202304999","202304999")</f>
        <v>202304999</v>
      </c>
      <c r="F176" s="83">
        <v>1</v>
      </c>
      <c r="G176" s="3" t="s">
        <v>477</v>
      </c>
      <c r="H176" s="68" t="s">
        <v>932</v>
      </c>
      <c r="I176" s="84">
        <v>1980</v>
      </c>
      <c r="J176" s="85" t="s">
        <v>29</v>
      </c>
      <c r="K176" s="85" t="s">
        <v>755</v>
      </c>
      <c r="L176" s="76">
        <v>38.984651999999997</v>
      </c>
      <c r="M176" s="76">
        <v>-77.094708999999995</v>
      </c>
      <c r="N176" s="66" t="str">
        <f>HYPERLINK("https://www.ncbi.nlm.nih.gov/pubmed/6261256", "6261256")</f>
        <v>6261256</v>
      </c>
      <c r="O176" s="28" t="s">
        <v>81</v>
      </c>
      <c r="P176" s="54" t="str">
        <f>HYPERLINK("https://www.ncbi.nlm.nih.gov/pubmed/16155612", "16155612")</f>
        <v>16155612</v>
      </c>
      <c r="Q176" s="54">
        <v>25147276</v>
      </c>
      <c r="R176" s="54"/>
      <c r="S176" s="7">
        <v>0</v>
      </c>
      <c r="T176" s="77"/>
      <c r="U176" s="53"/>
      <c r="V176" s="53"/>
      <c r="W176" s="7">
        <v>0</v>
      </c>
      <c r="X176" s="7">
        <v>0</v>
      </c>
      <c r="Y176" s="7">
        <v>1</v>
      </c>
      <c r="Z176" s="7">
        <v>1</v>
      </c>
      <c r="AA176" s="7">
        <v>0</v>
      </c>
      <c r="AB176" s="7">
        <v>1</v>
      </c>
      <c r="AC176" s="7">
        <v>1</v>
      </c>
      <c r="AD176" s="7">
        <v>1</v>
      </c>
      <c r="AE176" s="30" t="str">
        <f>HYPERLINK("https://pubmed.ncbi.nlm.nih.gov/38706549/", "38706549")</f>
        <v>38706549</v>
      </c>
      <c r="AF176" s="30" t="str">
        <f>HYPERLINK("https://pubmed.ncbi.nlm.nih.gov/38818747/", "38818747")</f>
        <v>38818747</v>
      </c>
      <c r="AG176" s="61">
        <v>0</v>
      </c>
      <c r="AH176" s="61">
        <v>1</v>
      </c>
      <c r="AI176" s="61">
        <v>0</v>
      </c>
      <c r="AJ176" s="61">
        <v>0</v>
      </c>
      <c r="AK176" s="61">
        <v>0</v>
      </c>
      <c r="AL176" s="64">
        <v>8627240</v>
      </c>
      <c r="AM176" s="64"/>
    </row>
    <row r="177" spans="1:39" ht="18" customHeight="1">
      <c r="A177" s="86" t="s">
        <v>721</v>
      </c>
      <c r="B177" s="87" t="s">
        <v>478</v>
      </c>
      <c r="C177" s="82" t="s">
        <v>475</v>
      </c>
      <c r="D177" s="82" t="s">
        <v>476</v>
      </c>
      <c r="E177" s="65" t="str">
        <f>HYPERLINK("https://ictv.global/taxonomy/taxondetails?taxnode_id=202305000","202305000")</f>
        <v>202305000</v>
      </c>
      <c r="F177" s="83">
        <v>1</v>
      </c>
      <c r="G177" s="3" t="s">
        <v>477</v>
      </c>
      <c r="H177" s="68" t="s">
        <v>933</v>
      </c>
      <c r="I177" s="84">
        <v>1982</v>
      </c>
      <c r="J177" s="85" t="s">
        <v>29</v>
      </c>
      <c r="K177" s="85" t="s">
        <v>755</v>
      </c>
      <c r="L177" s="76">
        <v>47.606209</v>
      </c>
      <c r="M177" s="76">
        <v>-122.332071</v>
      </c>
      <c r="N177" s="66" t="str">
        <f>HYPERLINK("https://www.ncbi.nlm.nih.gov/pubmed/6981847", "6981847")</f>
        <v>6981847</v>
      </c>
      <c r="O177" s="28" t="s">
        <v>81</v>
      </c>
      <c r="P177" s="54" t="str">
        <f>HYPERLINK("https://www.ncbi.nlm.nih.gov/pubmed/11804558", "11804558")</f>
        <v>11804558</v>
      </c>
      <c r="Q177" s="54"/>
      <c r="R177" s="54"/>
      <c r="S177" s="7">
        <v>0</v>
      </c>
      <c r="T177" s="77"/>
      <c r="U177" s="53"/>
      <c r="V177" s="53"/>
      <c r="W177" s="7">
        <v>0</v>
      </c>
      <c r="X177" s="7">
        <v>0</v>
      </c>
      <c r="Y177" s="7">
        <v>1</v>
      </c>
      <c r="Z177" s="7">
        <v>1</v>
      </c>
      <c r="AA177" s="7">
        <v>0</v>
      </c>
      <c r="AB177" s="7">
        <v>1</v>
      </c>
      <c r="AC177" s="7">
        <v>1</v>
      </c>
      <c r="AD177" s="7">
        <v>1</v>
      </c>
      <c r="AE177" s="30">
        <v>15911757</v>
      </c>
      <c r="AF177" s="30" t="str">
        <f>HYPERLINK("https://pubmed.ncbi.nlm.nih.gov/38706549/", "38706549")</f>
        <v>38706549</v>
      </c>
      <c r="AG177" s="61">
        <v>0</v>
      </c>
      <c r="AH177" s="61">
        <v>1</v>
      </c>
      <c r="AI177" s="61">
        <v>0</v>
      </c>
      <c r="AJ177" s="61">
        <v>0</v>
      </c>
      <c r="AK177" s="61">
        <v>0</v>
      </c>
      <c r="AL177" s="64">
        <v>8627240</v>
      </c>
      <c r="AM177" s="64"/>
    </row>
    <row r="178" spans="1:39" ht="18" customHeight="1">
      <c r="A178" s="86" t="s">
        <v>722</v>
      </c>
      <c r="B178" s="87" t="s">
        <v>479</v>
      </c>
      <c r="C178" s="82" t="s">
        <v>475</v>
      </c>
      <c r="D178" s="82" t="s">
        <v>476</v>
      </c>
      <c r="E178" s="65" t="str">
        <f>HYPERLINK("https://ictv.global/taxonomy/taxondetails?taxnode_id=202305001","202305001")</f>
        <v>202305001</v>
      </c>
      <c r="F178" s="83">
        <v>1</v>
      </c>
      <c r="G178" s="3" t="s">
        <v>477</v>
      </c>
      <c r="H178" s="68" t="s">
        <v>934</v>
      </c>
      <c r="I178" s="84">
        <v>2005</v>
      </c>
      <c r="J178" s="85" t="s">
        <v>480</v>
      </c>
      <c r="K178" s="85" t="s">
        <v>757</v>
      </c>
      <c r="L178" s="75">
        <v>2.5</v>
      </c>
      <c r="M178" s="75">
        <v>10.5</v>
      </c>
      <c r="N178" s="66" t="str">
        <f>HYPERLINK("https://www.ncbi.nlm.nih.gov/pubmed/15882466", "15882466")</f>
        <v>15882466</v>
      </c>
      <c r="O178" s="28">
        <v>2</v>
      </c>
      <c r="P178" s="54">
        <v>28193549</v>
      </c>
      <c r="Q178" s="54" t="str">
        <f>HYPERLINK("https://pubmed.ncbi.nlm.nih.gov/36817417/", "36817417")</f>
        <v>36817417</v>
      </c>
      <c r="R178" s="54"/>
      <c r="S178" s="7">
        <v>0</v>
      </c>
      <c r="T178" s="77"/>
      <c r="U178" s="53"/>
      <c r="V178" s="53"/>
      <c r="W178" s="7">
        <v>0</v>
      </c>
      <c r="X178" s="7">
        <v>0</v>
      </c>
      <c r="Y178" s="7" t="s">
        <v>17</v>
      </c>
      <c r="Z178" s="7" t="s">
        <v>17</v>
      </c>
      <c r="AA178" s="7">
        <v>0</v>
      </c>
      <c r="AB178" s="7" t="s">
        <v>17</v>
      </c>
      <c r="AC178" s="7" t="s">
        <v>17</v>
      </c>
      <c r="AD178" s="7" t="s">
        <v>17</v>
      </c>
      <c r="AE178" s="30">
        <v>15911757</v>
      </c>
      <c r="AF178" s="30" t="str">
        <f>HYPERLINK("https://pubmed.ncbi.nlm.nih.gov/37512949/", "37512949")</f>
        <v>37512949</v>
      </c>
      <c r="AG178" s="61">
        <v>0</v>
      </c>
      <c r="AH178" s="61">
        <v>1</v>
      </c>
      <c r="AI178" s="61">
        <v>0</v>
      </c>
      <c r="AJ178" s="61">
        <v>0</v>
      </c>
      <c r="AK178" s="61">
        <v>0</v>
      </c>
      <c r="AL178" s="64">
        <v>8627240</v>
      </c>
      <c r="AM178" s="64"/>
    </row>
    <row r="179" spans="1:39" ht="18" customHeight="1">
      <c r="A179" s="86" t="s">
        <v>723</v>
      </c>
      <c r="B179" s="87" t="s">
        <v>481</v>
      </c>
      <c r="C179" s="82" t="s">
        <v>482</v>
      </c>
      <c r="D179" s="82" t="s">
        <v>476</v>
      </c>
      <c r="E179" s="65" t="str">
        <f>HYPERLINK("https://ictv.global/taxonomy/taxondetails?taxnode_id=202305030","202305030")</f>
        <v>202305030</v>
      </c>
      <c r="F179" s="83">
        <v>1</v>
      </c>
      <c r="G179" s="3" t="s">
        <v>477</v>
      </c>
      <c r="H179" s="68" t="s">
        <v>935</v>
      </c>
      <c r="I179" s="84">
        <v>1983</v>
      </c>
      <c r="J179" s="85" t="s">
        <v>484</v>
      </c>
      <c r="K179" s="85" t="s">
        <v>753</v>
      </c>
      <c r="L179" s="76">
        <v>48.856614</v>
      </c>
      <c r="M179" s="76">
        <v>2.3522219999999998</v>
      </c>
      <c r="N179" s="66" t="str">
        <f>HYPERLINK("https://www.ncbi.nlm.nih.gov/pubmed/6189183", "6189183")</f>
        <v>6189183</v>
      </c>
      <c r="O179" s="28" t="s">
        <v>60</v>
      </c>
      <c r="P179" s="54">
        <v>29211835</v>
      </c>
      <c r="Q179" s="54"/>
      <c r="R179" s="54"/>
      <c r="S179" s="7">
        <v>0</v>
      </c>
      <c r="T179" s="77"/>
      <c r="U179" s="53"/>
      <c r="V179" s="53"/>
      <c r="W179" s="7">
        <v>0</v>
      </c>
      <c r="X179" s="7">
        <v>0</v>
      </c>
      <c r="Y179" s="7">
        <v>1</v>
      </c>
      <c r="Z179" s="7">
        <v>1</v>
      </c>
      <c r="AA179" s="7">
        <v>0</v>
      </c>
      <c r="AB179" s="7">
        <v>1</v>
      </c>
      <c r="AC179" s="7">
        <v>1</v>
      </c>
      <c r="AD179" s="7">
        <v>1</v>
      </c>
      <c r="AE179" s="30" t="s">
        <v>483</v>
      </c>
      <c r="AF179" s="30" t="str">
        <f>HYPERLINK("https://pubmed.ncbi.nlm.nih.gov/38775628/", "38775628")</f>
        <v>38775628</v>
      </c>
      <c r="AG179" s="61">
        <v>1</v>
      </c>
      <c r="AH179" s="61">
        <v>0</v>
      </c>
      <c r="AI179" s="61">
        <v>0</v>
      </c>
      <c r="AJ179" s="61">
        <v>0</v>
      </c>
      <c r="AK179" s="61">
        <v>0</v>
      </c>
      <c r="AL179" s="64">
        <v>17507975</v>
      </c>
      <c r="AM179" s="64"/>
    </row>
    <row r="180" spans="1:39" ht="18" customHeight="1">
      <c r="A180" s="86" t="s">
        <v>724</v>
      </c>
      <c r="B180" s="87" t="s">
        <v>485</v>
      </c>
      <c r="C180" s="82" t="s">
        <v>482</v>
      </c>
      <c r="D180" s="82" t="s">
        <v>476</v>
      </c>
      <c r="E180" s="65" t="str">
        <f>HYPERLINK("https://ictv.global/taxonomy/taxondetails?taxnode_id=202305031","202305031")</f>
        <v>202305031</v>
      </c>
      <c r="F180" s="83">
        <v>1</v>
      </c>
      <c r="G180" s="3" t="s">
        <v>477</v>
      </c>
      <c r="H180" s="68" t="s">
        <v>936</v>
      </c>
      <c r="I180" s="84">
        <v>1986</v>
      </c>
      <c r="J180" s="85" t="s">
        <v>487</v>
      </c>
      <c r="K180" s="85" t="s">
        <v>757</v>
      </c>
      <c r="L180" s="76">
        <v>14.716677000000001</v>
      </c>
      <c r="M180" s="76">
        <v>-17.467686</v>
      </c>
      <c r="N180" s="66" t="str">
        <f>HYPERLINK("https://www.ncbi.nlm.nih.gov/pubmed/3006256", "3006256")</f>
        <v>3006256</v>
      </c>
      <c r="O180" s="28" t="s">
        <v>60</v>
      </c>
      <c r="P180" s="54" t="str">
        <f>HYPERLINK("https://www.ncbi.nlm.nih.gov/pubmed/12029140", "12029140")</f>
        <v>12029140</v>
      </c>
      <c r="Q180" s="54"/>
      <c r="R180" s="54"/>
      <c r="S180" s="7">
        <v>0</v>
      </c>
      <c r="T180" s="77"/>
      <c r="U180" s="53"/>
      <c r="V180" s="53"/>
      <c r="W180" s="7">
        <v>0</v>
      </c>
      <c r="X180" s="7">
        <v>0</v>
      </c>
      <c r="Y180" s="7">
        <v>1</v>
      </c>
      <c r="Z180" s="7">
        <v>1</v>
      </c>
      <c r="AA180" s="7">
        <v>0</v>
      </c>
      <c r="AB180" s="7">
        <v>1</v>
      </c>
      <c r="AC180" s="7">
        <v>1</v>
      </c>
      <c r="AD180" s="7">
        <v>1</v>
      </c>
      <c r="AE180" s="30" t="s">
        <v>486</v>
      </c>
      <c r="AF180" s="30" t="str">
        <f>HYPERLINK("https://pubmed.ncbi.nlm.nih.gov/36146762/", "36146762")</f>
        <v>36146762</v>
      </c>
      <c r="AG180" s="61">
        <v>1</v>
      </c>
      <c r="AH180" s="61">
        <v>0</v>
      </c>
      <c r="AI180" s="61">
        <v>0</v>
      </c>
      <c r="AJ180" s="61">
        <v>0</v>
      </c>
      <c r="AK180" s="61">
        <v>0</v>
      </c>
      <c r="AL180" s="64">
        <v>17507975</v>
      </c>
      <c r="AM180" s="64"/>
    </row>
    <row r="181" spans="1:39" ht="18" customHeight="1">
      <c r="A181" s="86" t="s">
        <v>725</v>
      </c>
      <c r="B181" s="87" t="s">
        <v>488</v>
      </c>
      <c r="C181" s="82" t="s">
        <v>482</v>
      </c>
      <c r="D181" s="82" t="s">
        <v>476</v>
      </c>
      <c r="E181" s="65" t="str">
        <f>HYPERLINK("https://ictv.global/taxonomy/taxondetails?taxnode_id=202305034","202305034")</f>
        <v>202305034</v>
      </c>
      <c r="F181" s="83">
        <v>1</v>
      </c>
      <c r="G181" s="3" t="s">
        <v>477</v>
      </c>
      <c r="H181" s="68" t="s">
        <v>937</v>
      </c>
      <c r="I181" s="84">
        <v>1992</v>
      </c>
      <c r="J181" s="85" t="s">
        <v>29</v>
      </c>
      <c r="K181" s="85" t="s">
        <v>755</v>
      </c>
      <c r="L181" s="76">
        <v>33.748995000000001</v>
      </c>
      <c r="M181" s="76">
        <v>-84.387981999999994</v>
      </c>
      <c r="N181" s="66" t="str">
        <f>HYPERLINK("https://www.ncbi.nlm.nih.gov/pubmed/1353193", "1353193")</f>
        <v>1353193</v>
      </c>
      <c r="O181" s="58">
        <v>2</v>
      </c>
      <c r="P181" s="54">
        <v>9437261</v>
      </c>
      <c r="Q181" s="54">
        <v>16485481</v>
      </c>
      <c r="R181" s="54"/>
      <c r="S181" s="7">
        <v>0</v>
      </c>
      <c r="T181" s="77"/>
      <c r="U181" s="53"/>
      <c r="V181" s="53"/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1</v>
      </c>
      <c r="AE181" s="30">
        <v>22673358</v>
      </c>
      <c r="AF181" s="30" t="str">
        <f>HYPERLINK("https://www.ncbi.nlm.nih.gov/pubmed/16485481", "16485481")</f>
        <v>16485481</v>
      </c>
      <c r="AG181" s="62">
        <v>0</v>
      </c>
      <c r="AH181" s="62">
        <v>1</v>
      </c>
      <c r="AI181" s="61">
        <v>0</v>
      </c>
      <c r="AJ181" s="61">
        <v>0</v>
      </c>
      <c r="AK181" s="61">
        <v>0</v>
      </c>
      <c r="AL181" s="64">
        <v>17507975</v>
      </c>
      <c r="AM181" s="64"/>
    </row>
    <row r="182" spans="1:39" ht="18" customHeight="1">
      <c r="A182" s="83" t="s">
        <v>726</v>
      </c>
      <c r="B182" s="82" t="s">
        <v>740</v>
      </c>
      <c r="C182" s="82" t="s">
        <v>489</v>
      </c>
      <c r="D182" s="82" t="s">
        <v>476</v>
      </c>
      <c r="E182" s="65" t="str">
        <f>HYPERLINK("https://ictv.global/taxonomy/taxondetails?taxnode_id=202305936", "202305936")</f>
        <v>202305936</v>
      </c>
      <c r="F182" s="83">
        <v>1</v>
      </c>
      <c r="G182" s="3" t="s">
        <v>490</v>
      </c>
      <c r="H182" s="68" t="s">
        <v>938</v>
      </c>
      <c r="I182" s="84">
        <v>2012</v>
      </c>
      <c r="J182" s="85" t="s">
        <v>480</v>
      </c>
      <c r="K182" s="85" t="s">
        <v>757</v>
      </c>
      <c r="L182" s="75">
        <v>3.233333</v>
      </c>
      <c r="M182" s="75">
        <v>10.733333</v>
      </c>
      <c r="N182" s="66" t="str">
        <f>HYPERLINK("https://www.ncbi.nlm.nih.gov/pubmed/?term=23015714", "23015714")</f>
        <v>23015714</v>
      </c>
      <c r="O182" s="28">
        <v>2</v>
      </c>
      <c r="P182" s="54">
        <v>18252101</v>
      </c>
      <c r="Q182" s="54" t="str">
        <f>HYPERLINK("https://pubmed.ncbi.nlm.nih.gov/37093892/", "37093892")</f>
        <v>37093892</v>
      </c>
      <c r="R182" s="54"/>
      <c r="S182" s="7">
        <v>0</v>
      </c>
      <c r="T182" s="77"/>
      <c r="U182" s="53"/>
      <c r="V182" s="53"/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1</v>
      </c>
      <c r="AC182" s="7">
        <v>0</v>
      </c>
      <c r="AD182" s="7">
        <v>0</v>
      </c>
      <c r="AE182" s="30" t="str">
        <f>HYPERLINK("https://www.ncbi.nlm.nih.gov/pubmed/?term=23015714", "23015714")</f>
        <v>23015714</v>
      </c>
      <c r="AF182" s="30" t="str">
        <f>HYPERLINK("https://pubmed.ncbi.nlm.nih.gov/29197389/", "29197389")</f>
        <v>29197389</v>
      </c>
      <c r="AG182" s="62">
        <v>0</v>
      </c>
      <c r="AH182" s="62">
        <v>1</v>
      </c>
      <c r="AI182" s="61">
        <v>0</v>
      </c>
      <c r="AJ182" s="61">
        <v>0</v>
      </c>
      <c r="AK182" s="61">
        <v>0</v>
      </c>
      <c r="AL182" s="64" t="str">
        <f>HYPERLINK("https://www.ncbi.nlm.nih.gov/pubmed/?term=23015714", "23015714")</f>
        <v>23015714</v>
      </c>
      <c r="AM182" s="64"/>
    </row>
    <row r="183" spans="1:39" ht="18" customHeight="1">
      <c r="A183" s="83" t="s">
        <v>727</v>
      </c>
      <c r="B183" s="81" t="s">
        <v>741</v>
      </c>
      <c r="C183" s="82" t="s">
        <v>489</v>
      </c>
      <c r="D183" s="82" t="s">
        <v>476</v>
      </c>
      <c r="E183" s="65" t="str">
        <f>HYPERLINK("https://ictv.global/taxonomy/taxondetails?taxnode_id=202305038","202305038")</f>
        <v>202305038</v>
      </c>
      <c r="F183" s="83">
        <v>1</v>
      </c>
      <c r="G183" s="3" t="s">
        <v>477</v>
      </c>
      <c r="H183" s="68"/>
      <c r="I183" s="84">
        <v>1997</v>
      </c>
      <c r="J183" s="85" t="s">
        <v>74</v>
      </c>
      <c r="K183" s="85" t="s">
        <v>753</v>
      </c>
      <c r="L183" s="76">
        <v>47.999008000000003</v>
      </c>
      <c r="M183" s="76">
        <v>7.842104</v>
      </c>
      <c r="N183" s="66" t="str">
        <f>HYPERLINK("https://www.ncbi.nlm.nih.gov/pubmed/9151878", "9151878")</f>
        <v>9151878</v>
      </c>
      <c r="O183" s="28">
        <v>2</v>
      </c>
      <c r="P183" s="54">
        <v>9546784</v>
      </c>
      <c r="Q183" s="54" t="str">
        <f>HYPERLINK("https://pubmed.ncbi.nlm.nih.gov/37093892/", "37093892")</f>
        <v>37093892</v>
      </c>
      <c r="R183" s="54"/>
      <c r="S183" s="7">
        <v>0</v>
      </c>
      <c r="T183" s="77"/>
      <c r="U183" s="53"/>
      <c r="V183" s="53"/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1</v>
      </c>
      <c r="AC183" s="7">
        <v>0</v>
      </c>
      <c r="AD183" s="7">
        <v>0</v>
      </c>
      <c r="AE183" s="30" t="str">
        <f>HYPERLINK("https://pubmed.ncbi.nlm.nih.gov/29197389/", "29197389")</f>
        <v>29197389</v>
      </c>
      <c r="AF183" s="30" t="str">
        <f>HYPERLINK("https://pubmed.ncbi.nlm.nih.gov/9546784/", "9546784")</f>
        <v>9546784</v>
      </c>
      <c r="AG183" s="61">
        <v>0</v>
      </c>
      <c r="AH183" s="61">
        <v>1</v>
      </c>
      <c r="AI183" s="61">
        <v>0</v>
      </c>
      <c r="AJ183" s="61">
        <v>0</v>
      </c>
      <c r="AK183" s="61">
        <v>0</v>
      </c>
      <c r="AL183" s="64">
        <v>10516034</v>
      </c>
      <c r="AM183" s="64"/>
    </row>
    <row r="184" spans="1:39" ht="18" customHeight="1">
      <c r="A184" s="83" t="s">
        <v>728</v>
      </c>
      <c r="B184" s="81" t="s">
        <v>742</v>
      </c>
      <c r="C184" s="82" t="s">
        <v>489</v>
      </c>
      <c r="D184" s="82" t="s">
        <v>476</v>
      </c>
      <c r="E184" s="65" t="str">
        <f>HYPERLINK("https://ictv.global/taxonomy/taxondetails?taxnode_id=202305042","202305042")</f>
        <v>202305042</v>
      </c>
      <c r="F184" s="83">
        <v>1</v>
      </c>
      <c r="G184" s="3" t="s">
        <v>477</v>
      </c>
      <c r="H184" s="68" t="s">
        <v>939</v>
      </c>
      <c r="I184" s="84">
        <v>2002</v>
      </c>
      <c r="J184" s="85" t="s">
        <v>491</v>
      </c>
      <c r="K184" s="85" t="s">
        <v>755</v>
      </c>
      <c r="L184" s="76">
        <v>45.421529999999997</v>
      </c>
      <c r="M184" s="76">
        <v>-75.697192999999999</v>
      </c>
      <c r="N184" s="66" t="str">
        <f>HYPERLINK("https://www.ncbi.nlm.nih.gov/pubmed/12241782", "12241782")</f>
        <v>12241782</v>
      </c>
      <c r="O184" s="28">
        <v>2</v>
      </c>
      <c r="P184" s="54">
        <v>12241782</v>
      </c>
      <c r="Q184" s="54" t="str">
        <f>HYPERLINK("https://pubmed.ncbi.nlm.nih.gov/37093892/", "37093892")</f>
        <v>37093892</v>
      </c>
      <c r="R184" s="54"/>
      <c r="S184" s="7">
        <v>0</v>
      </c>
      <c r="T184" s="77"/>
      <c r="U184" s="53"/>
      <c r="V184" s="53"/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1</v>
      </c>
      <c r="AC184" s="7">
        <v>0</v>
      </c>
      <c r="AD184" s="7">
        <v>0</v>
      </c>
      <c r="AE184" s="30" t="str">
        <f>HYPERLINK("https://pubmed.ncbi.nlm.nih.gov/29197389/", "29197389")</f>
        <v>29197389</v>
      </c>
      <c r="AF184" s="30" t="str">
        <f>HYPERLINK("https://pubmed.ncbi.nlm.nih.gov/26038465/", "26038465")</f>
        <v>26038465</v>
      </c>
      <c r="AG184" s="61">
        <v>0</v>
      </c>
      <c r="AH184" s="61">
        <v>1</v>
      </c>
      <c r="AI184" s="61">
        <v>0</v>
      </c>
      <c r="AJ184" s="61">
        <v>0</v>
      </c>
      <c r="AK184" s="61">
        <v>0</v>
      </c>
      <c r="AL184" s="64">
        <v>24109214</v>
      </c>
      <c r="AM184" s="64"/>
    </row>
    <row r="185" spans="1:39" ht="18" customHeight="1">
      <c r="A185" s="83" t="s">
        <v>729</v>
      </c>
      <c r="B185" s="81" t="s">
        <v>743</v>
      </c>
      <c r="C185" s="82" t="s">
        <v>489</v>
      </c>
      <c r="D185" s="82" t="s">
        <v>476</v>
      </c>
      <c r="E185" s="65" t="str">
        <f>HYPERLINK("https://ictv.global/taxonomy/taxondetails?taxnode_id=202305043","202305043")</f>
        <v>202305043</v>
      </c>
      <c r="F185" s="83">
        <v>1</v>
      </c>
      <c r="G185" s="3" t="s">
        <v>477</v>
      </c>
      <c r="H185" s="68" t="s">
        <v>940</v>
      </c>
      <c r="I185" s="84">
        <v>1971</v>
      </c>
      <c r="J185" s="85" t="s">
        <v>380</v>
      </c>
      <c r="K185" s="85" t="s">
        <v>757</v>
      </c>
      <c r="L185" s="76">
        <v>-2.3559E-2</v>
      </c>
      <c r="M185" s="76">
        <v>37.906193000000002</v>
      </c>
      <c r="N185" s="66" t="str">
        <f>HYPERLINK("https://www.ncbi.nlm.nih.gov/pubmed/4998605", "4998605")</f>
        <v>4998605</v>
      </c>
      <c r="O185" s="58">
        <v>2</v>
      </c>
      <c r="P185" s="54" t="str">
        <f>HYPERLINK("https://www.ncbi.nlm.nih.gov/pubmed/14990698", "14990698")</f>
        <v>14990698</v>
      </c>
      <c r="Q185" s="54" t="str">
        <f>HYPERLINK("https://pubmed.ncbi.nlm.nih.gov/37093892/", "37093892")</f>
        <v>37093892</v>
      </c>
      <c r="R185" s="54"/>
      <c r="S185" s="7">
        <v>0</v>
      </c>
      <c r="T185" s="77"/>
      <c r="U185" s="53"/>
      <c r="V185" s="53"/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1</v>
      </c>
      <c r="AC185" s="7">
        <v>0</v>
      </c>
      <c r="AD185" s="7">
        <v>0</v>
      </c>
      <c r="AE185" s="30" t="str">
        <f>HYPERLINK("https://pubmed.ncbi.nlm.nih.gov/29197389/", "29197389")</f>
        <v>29197389</v>
      </c>
      <c r="AF185" s="30" t="str">
        <f>HYPERLINK("https://pubmed.ncbi.nlm.nih.gov/37384730/", "37384730")</f>
        <v>37384730</v>
      </c>
      <c r="AG185" s="61">
        <v>0</v>
      </c>
      <c r="AH185" s="61">
        <v>1</v>
      </c>
      <c r="AI185" s="61">
        <v>0</v>
      </c>
      <c r="AJ185" s="61">
        <v>0</v>
      </c>
      <c r="AK185" s="61">
        <v>0</v>
      </c>
      <c r="AL185" s="64">
        <v>19485797</v>
      </c>
      <c r="AM185" s="64"/>
    </row>
    <row r="186" spans="1:39" ht="18" customHeight="1">
      <c r="A186" s="83" t="s">
        <v>730</v>
      </c>
      <c r="B186" s="82" t="s">
        <v>744</v>
      </c>
      <c r="C186" s="82" t="s">
        <v>489</v>
      </c>
      <c r="D186" s="82" t="s">
        <v>476</v>
      </c>
      <c r="E186" s="65" t="str">
        <f>HYPERLINK("https://ictv.global/taxonomy/taxondetails?taxnode_id=202305935", "202305935")</f>
        <v>202305935</v>
      </c>
      <c r="F186" s="83">
        <v>1</v>
      </c>
      <c r="G186" s="3" t="s">
        <v>490</v>
      </c>
      <c r="H186" s="68" t="s">
        <v>941</v>
      </c>
      <c r="I186" s="84">
        <v>2012</v>
      </c>
      <c r="J186" s="85" t="s">
        <v>480</v>
      </c>
      <c r="K186" s="85" t="s">
        <v>757</v>
      </c>
      <c r="L186" s="75">
        <v>4.5</v>
      </c>
      <c r="M186" s="75">
        <v>13.5</v>
      </c>
      <c r="N186" s="66" t="str">
        <f>HYPERLINK("https://www.ncbi.nlm.nih.gov/pubmed/?term=23015714", "23015714")</f>
        <v>23015714</v>
      </c>
      <c r="O186" s="28">
        <v>2</v>
      </c>
      <c r="P186" s="54">
        <v>21087785</v>
      </c>
      <c r="Q186" s="54" t="str">
        <f>HYPERLINK("https://pubmed.ncbi.nlm.nih.gov/37093892/", "37093892")</f>
        <v>37093892</v>
      </c>
      <c r="R186" s="54"/>
      <c r="S186" s="7">
        <v>0</v>
      </c>
      <c r="T186" s="77"/>
      <c r="U186" s="53"/>
      <c r="V186" s="53"/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1</v>
      </c>
      <c r="AC186" s="7">
        <v>0</v>
      </c>
      <c r="AD186" s="7">
        <v>0</v>
      </c>
      <c r="AE186" s="30" t="str">
        <f>HYPERLINK("https://pubmed.ncbi.nlm.nih.gov/29197389/", "29197389")</f>
        <v>29197389</v>
      </c>
      <c r="AF186" s="30" t="str">
        <f>HYPERLINK("https://pubmed.ncbi.nlm.nih.gov/37384730/", "37384730")</f>
        <v>37384730</v>
      </c>
      <c r="AG186" s="62">
        <v>0</v>
      </c>
      <c r="AH186" s="62">
        <v>1</v>
      </c>
      <c r="AI186" s="61">
        <v>0</v>
      </c>
      <c r="AJ186" s="61">
        <v>0</v>
      </c>
      <c r="AK186" s="61">
        <v>0</v>
      </c>
      <c r="AL186" s="64" t="str">
        <f>HYPERLINK("https://www.ncbi.nlm.nih.gov/pubmed/?term=23015714", "23015714")</f>
        <v>23015714</v>
      </c>
      <c r="AM186" s="64"/>
    </row>
    <row r="187" spans="1:39" ht="18" customHeight="1">
      <c r="A187" s="86" t="s">
        <v>492</v>
      </c>
      <c r="B187" s="82" t="s">
        <v>493</v>
      </c>
      <c r="C187" s="82" t="s">
        <v>494</v>
      </c>
      <c r="D187" s="82" t="s">
        <v>495</v>
      </c>
      <c r="E187" s="65" t="str">
        <f>HYPERLINK("https://ictv.global/taxonomy/taxondetails?taxnode_id=202301723","202301723")</f>
        <v>202301723</v>
      </c>
      <c r="F187" s="83">
        <v>1</v>
      </c>
      <c r="G187" s="3" t="s">
        <v>774</v>
      </c>
      <c r="H187" s="68" t="s">
        <v>942</v>
      </c>
      <c r="I187" s="84">
        <v>1998</v>
      </c>
      <c r="J187" s="85" t="s">
        <v>66</v>
      </c>
      <c r="K187" s="85" t="s">
        <v>752</v>
      </c>
      <c r="L187" s="76">
        <v>-27.469771000000001</v>
      </c>
      <c r="M187" s="76">
        <v>153.02512400000001</v>
      </c>
      <c r="N187" s="66" t="str">
        <f>HYPERLINK("https://www.ncbi.nlm.nih.gov/pubmed/9775399", "9775399")</f>
        <v>9775399</v>
      </c>
      <c r="O187" s="28">
        <v>2</v>
      </c>
      <c r="P187" s="54">
        <v>25495308</v>
      </c>
      <c r="Q187" s="54"/>
      <c r="R187" s="54"/>
      <c r="S187" s="7">
        <v>0</v>
      </c>
      <c r="T187" s="77"/>
      <c r="U187" s="53"/>
      <c r="V187" s="53"/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1</v>
      </c>
      <c r="AC187" s="7">
        <v>0</v>
      </c>
      <c r="AD187" s="7">
        <v>1</v>
      </c>
      <c r="AE187" s="30" t="s">
        <v>496</v>
      </c>
      <c r="AF187" s="30"/>
      <c r="AG187" s="61">
        <v>0</v>
      </c>
      <c r="AH187" s="61">
        <v>0</v>
      </c>
      <c r="AI187" s="61">
        <v>1</v>
      </c>
      <c r="AJ187" s="61">
        <v>0</v>
      </c>
      <c r="AK187" s="61">
        <v>0</v>
      </c>
      <c r="AL187" s="64">
        <v>28033365</v>
      </c>
      <c r="AM187" s="64"/>
    </row>
    <row r="188" spans="1:39" ht="18" customHeight="1">
      <c r="A188" s="86" t="s">
        <v>497</v>
      </c>
      <c r="B188" s="82" t="s">
        <v>498</v>
      </c>
      <c r="C188" s="82" t="s">
        <v>494</v>
      </c>
      <c r="D188" s="82" t="s">
        <v>495</v>
      </c>
      <c r="E188" s="65" t="str">
        <f>HYPERLINK("https://ictv.global/taxonomy/taxondetails?taxnode_id=202301725","202301725")</f>
        <v>202301725</v>
      </c>
      <c r="F188" s="83">
        <v>1</v>
      </c>
      <c r="G188" s="3" t="s">
        <v>774</v>
      </c>
      <c r="H188" s="68" t="s">
        <v>943</v>
      </c>
      <c r="I188" s="84">
        <v>1971</v>
      </c>
      <c r="J188" s="72" t="s">
        <v>747</v>
      </c>
      <c r="K188" s="85" t="s">
        <v>757</v>
      </c>
      <c r="L188" s="76">
        <v>-25.747868</v>
      </c>
      <c r="M188" s="76">
        <v>28.229271000000001</v>
      </c>
      <c r="N188" s="66" t="str">
        <f>HYPERLINK("https://www.ncbi.nlm.nih.gov/pubmed/5106834", "5106834")</f>
        <v>5106834</v>
      </c>
      <c r="O188" s="28">
        <v>2</v>
      </c>
      <c r="P188" s="54">
        <v>18445390</v>
      </c>
      <c r="Q188" s="54"/>
      <c r="R188" s="54"/>
      <c r="S188" s="7">
        <v>0</v>
      </c>
      <c r="T188" s="77"/>
      <c r="U188" s="53"/>
      <c r="V188" s="53"/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1</v>
      </c>
      <c r="AC188" s="7">
        <v>0</v>
      </c>
      <c r="AD188" s="7">
        <v>1</v>
      </c>
      <c r="AE188" s="30" t="s">
        <v>499</v>
      </c>
      <c r="AF188" s="30"/>
      <c r="AG188" s="61">
        <v>0</v>
      </c>
      <c r="AH188" s="61">
        <v>0</v>
      </c>
      <c r="AI188" s="61">
        <v>1</v>
      </c>
      <c r="AJ188" s="61">
        <v>0</v>
      </c>
      <c r="AK188" s="61">
        <v>0</v>
      </c>
      <c r="AL188" s="64">
        <v>19636367</v>
      </c>
      <c r="AM188" s="64"/>
    </row>
    <row r="189" spans="1:39" ht="18" customHeight="1">
      <c r="A189" s="86" t="s">
        <v>500</v>
      </c>
      <c r="B189" s="87" t="s">
        <v>501</v>
      </c>
      <c r="C189" s="82" t="s">
        <v>494</v>
      </c>
      <c r="D189" s="82" t="s">
        <v>495</v>
      </c>
      <c r="E189" s="65" t="str">
        <f>HYPERLINK("https://ictv.global/taxonomy/taxondetails?taxnode_id=202301726","202301726")</f>
        <v>202301726</v>
      </c>
      <c r="F189" s="83">
        <v>1</v>
      </c>
      <c r="G189" s="3" t="s">
        <v>774</v>
      </c>
      <c r="H189" s="68" t="s">
        <v>944</v>
      </c>
      <c r="I189" s="84">
        <v>1989</v>
      </c>
      <c r="J189" s="85" t="s">
        <v>748</v>
      </c>
      <c r="K189" s="85" t="s">
        <v>754</v>
      </c>
      <c r="L189" s="76">
        <v>50.599713000000001</v>
      </c>
      <c r="M189" s="76">
        <v>36.598261999999998</v>
      </c>
      <c r="N189" s="66" t="str">
        <f>HYPERLINK("https://www.ncbi.nlm.nih.gov/pubmed/2576595", "2576595")</f>
        <v>2576595</v>
      </c>
      <c r="O189" s="28">
        <v>2</v>
      </c>
      <c r="P189" s="54">
        <v>23627196</v>
      </c>
      <c r="Q189" s="54"/>
      <c r="R189" s="54"/>
      <c r="S189" s="7">
        <v>0</v>
      </c>
      <c r="T189" s="77"/>
      <c r="U189" s="53"/>
      <c r="V189" s="53"/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1</v>
      </c>
      <c r="AC189" s="7">
        <v>0</v>
      </c>
      <c r="AD189" s="7">
        <v>1</v>
      </c>
      <c r="AE189" s="30" t="s">
        <v>502</v>
      </c>
      <c r="AF189" s="30" t="str">
        <f>HYPERLINK("https://pubmed.ncbi.nlm.nih.gov/38100072/", "38100072")</f>
        <v>38100072</v>
      </c>
      <c r="AG189" s="61">
        <v>0</v>
      </c>
      <c r="AH189" s="61">
        <v>0</v>
      </c>
      <c r="AI189" s="61">
        <v>1</v>
      </c>
      <c r="AJ189" s="61">
        <v>0</v>
      </c>
      <c r="AK189" s="61">
        <v>0</v>
      </c>
      <c r="AL189" s="64">
        <v>18632972</v>
      </c>
      <c r="AM189" s="64">
        <v>25192547</v>
      </c>
    </row>
    <row r="190" spans="1:39" ht="18" customHeight="1">
      <c r="A190" s="86" t="s">
        <v>503</v>
      </c>
      <c r="B190" s="87" t="s">
        <v>504</v>
      </c>
      <c r="C190" s="82" t="s">
        <v>494</v>
      </c>
      <c r="D190" s="82" t="s">
        <v>495</v>
      </c>
      <c r="E190" s="65" t="str">
        <f>HYPERLINK("https://ictv.global/taxonomy/taxondetails?taxnode_id=202301727","202301727")</f>
        <v>202301727</v>
      </c>
      <c r="F190" s="83">
        <v>1</v>
      </c>
      <c r="G190" s="3" t="s">
        <v>774</v>
      </c>
      <c r="H190" s="68" t="s">
        <v>945</v>
      </c>
      <c r="I190" s="84">
        <v>1986</v>
      </c>
      <c r="J190" s="85" t="s">
        <v>505</v>
      </c>
      <c r="K190" s="85" t="s">
        <v>753</v>
      </c>
      <c r="L190" s="76">
        <v>60.169856000000003</v>
      </c>
      <c r="M190" s="76">
        <v>24.938379000000001</v>
      </c>
      <c r="N190" s="66" t="str">
        <f>HYPERLINK("https://www.ncbi.nlm.nih.gov/pubmed/2868310", "2868310")</f>
        <v>2868310</v>
      </c>
      <c r="O190" s="28">
        <v>2</v>
      </c>
      <c r="P190" s="54" t="str">
        <f>HYPERLINK("https://www.ncbi.nlm.nih.gov/pubmed/12938204", "12938204")</f>
        <v>12938204</v>
      </c>
      <c r="Q190" s="54"/>
      <c r="R190" s="54"/>
      <c r="S190" s="7">
        <v>0</v>
      </c>
      <c r="T190" s="77"/>
      <c r="U190" s="53"/>
      <c r="V190" s="53"/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1</v>
      </c>
      <c r="AC190" s="7">
        <v>0</v>
      </c>
      <c r="AD190" s="7">
        <v>1</v>
      </c>
      <c r="AE190" s="30" t="s">
        <v>502</v>
      </c>
      <c r="AF190" s="30"/>
      <c r="AG190" s="61">
        <v>0</v>
      </c>
      <c r="AH190" s="61">
        <v>0</v>
      </c>
      <c r="AI190" s="61">
        <v>1</v>
      </c>
      <c r="AJ190" s="61">
        <v>0</v>
      </c>
      <c r="AK190" s="61">
        <v>0</v>
      </c>
      <c r="AL190" s="64">
        <v>22937876</v>
      </c>
      <c r="AM190" s="64"/>
    </row>
    <row r="191" spans="1:39" ht="18" customHeight="1">
      <c r="A191" s="86" t="s">
        <v>506</v>
      </c>
      <c r="B191" s="82" t="s">
        <v>507</v>
      </c>
      <c r="C191" s="82" t="s">
        <v>494</v>
      </c>
      <c r="D191" s="82" t="s">
        <v>495</v>
      </c>
      <c r="E191" s="65" t="str">
        <f>HYPERLINK("https://ictv.global/taxonomy/taxondetails?taxnode_id=202301729","202301729")</f>
        <v>202301729</v>
      </c>
      <c r="F191" s="83">
        <v>1</v>
      </c>
      <c r="G191" s="3" t="s">
        <v>774</v>
      </c>
      <c r="H191" s="68" t="s">
        <v>946</v>
      </c>
      <c r="I191" s="84">
        <v>2013</v>
      </c>
      <c r="J191" s="85" t="s">
        <v>108</v>
      </c>
      <c r="K191" s="85" t="s">
        <v>754</v>
      </c>
      <c r="L191" s="76">
        <v>41.679808000000001</v>
      </c>
      <c r="M191" s="76">
        <v>125.759259</v>
      </c>
      <c r="N191" s="66" t="str">
        <f>HYPERLINK("https://www.ncbi.nlm.nih.gov/pubmed/23505588", "23505588")</f>
        <v>23505588</v>
      </c>
      <c r="O191" s="28">
        <v>2</v>
      </c>
      <c r="P191" s="54" t="str">
        <f>HYPERLINK("https://www.ncbi.nlm.nih.gov/pubmed/23505588", "23505588")</f>
        <v>23505588</v>
      </c>
      <c r="Q191" s="54"/>
      <c r="R191" s="54"/>
      <c r="S191" s="7">
        <v>0</v>
      </c>
      <c r="T191" s="77"/>
      <c r="U191" s="53"/>
      <c r="V191" s="53"/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1</v>
      </c>
      <c r="AC191" s="60">
        <v>0</v>
      </c>
      <c r="AD191" s="7">
        <v>1</v>
      </c>
      <c r="AE191" s="30">
        <v>16705370</v>
      </c>
      <c r="AF191" s="30" t="str">
        <f>HYPERLINK("https://www.cabidigitallibrary.org/doi/full/10.5555/20103312853", "Direct link")</f>
        <v>Direct link</v>
      </c>
      <c r="AG191" s="61">
        <v>0</v>
      </c>
      <c r="AH191" s="61">
        <v>0</v>
      </c>
      <c r="AI191" s="61">
        <v>1</v>
      </c>
      <c r="AJ191" s="61">
        <v>0</v>
      </c>
      <c r="AK191" s="61">
        <v>0</v>
      </c>
      <c r="AL191" s="64">
        <v>23505588</v>
      </c>
      <c r="AM191" s="64"/>
    </row>
    <row r="192" spans="1:39" ht="18" customHeight="1">
      <c r="A192" s="86" t="s">
        <v>508</v>
      </c>
      <c r="B192" s="82" t="s">
        <v>509</v>
      </c>
      <c r="C192" s="82" t="s">
        <v>494</v>
      </c>
      <c r="D192" s="82" t="s">
        <v>495</v>
      </c>
      <c r="E192" s="65" t="str">
        <f>HYPERLINK("https://ictv.global/taxonomy/taxondetails?taxnode_id=202301732","202301732")</f>
        <v>202301732</v>
      </c>
      <c r="F192" s="83">
        <v>1</v>
      </c>
      <c r="G192" s="3" t="s">
        <v>774</v>
      </c>
      <c r="H192" s="68" t="s">
        <v>947</v>
      </c>
      <c r="I192" s="84">
        <v>1972</v>
      </c>
      <c r="J192" s="85" t="s">
        <v>43</v>
      </c>
      <c r="K192" s="85" t="s">
        <v>757</v>
      </c>
      <c r="L192" s="76">
        <v>7.377535</v>
      </c>
      <c r="M192" s="76">
        <v>3.9470399999999999</v>
      </c>
      <c r="N192" s="66" t="str">
        <f>HYPERLINK("https://www.ncbi.nlm.nih.gov/pubmed/4635777", "4635777")</f>
        <v>4635777</v>
      </c>
      <c r="O192" s="28">
        <v>2</v>
      </c>
      <c r="P192" s="54">
        <v>4635777</v>
      </c>
      <c r="Q192" s="54"/>
      <c r="R192" s="54"/>
      <c r="S192" s="7">
        <v>0</v>
      </c>
      <c r="T192" s="77"/>
      <c r="U192" s="53"/>
      <c r="V192" s="53"/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1</v>
      </c>
      <c r="AC192" s="7">
        <v>0</v>
      </c>
      <c r="AD192" s="7">
        <v>1</v>
      </c>
      <c r="AE192" s="30" t="str">
        <f>HYPERLINK("https://pubmed.ncbi.nlm.nih.gov/4772939/", "4772939")</f>
        <v>4772939</v>
      </c>
      <c r="AF192" s="30" t="str">
        <f>HYPERLINK("https://pubmed.ncbi.nlm.nih.gov/32150590/", "32150590")</f>
        <v>32150590</v>
      </c>
      <c r="AG192" s="61">
        <v>0</v>
      </c>
      <c r="AH192" s="61">
        <v>0</v>
      </c>
      <c r="AI192" s="61">
        <v>1</v>
      </c>
      <c r="AJ192" s="61">
        <v>1</v>
      </c>
      <c r="AK192" s="61">
        <v>0</v>
      </c>
      <c r="AL192" s="64" t="str">
        <f>HYPERLINK("https://pubmed.ncbi.nlm.nih.gov/4772939/", "4772939")</f>
        <v>4772939</v>
      </c>
      <c r="AM192" s="64"/>
    </row>
    <row r="193" spans="1:39" ht="18" customHeight="1">
      <c r="A193" s="86" t="s">
        <v>731</v>
      </c>
      <c r="B193" s="82" t="s">
        <v>510</v>
      </c>
      <c r="C193" s="82" t="s">
        <v>494</v>
      </c>
      <c r="D193" s="82" t="s">
        <v>495</v>
      </c>
      <c r="E193" s="65" t="str">
        <f>HYPERLINK("https://ictv.global/taxonomy/taxondetails?taxnode_id=202301733","202301733")</f>
        <v>202301733</v>
      </c>
      <c r="F193" s="83">
        <v>1</v>
      </c>
      <c r="G193" s="3" t="s">
        <v>774</v>
      </c>
      <c r="H193" s="68" t="s">
        <v>948</v>
      </c>
      <c r="I193" s="84">
        <v>1903</v>
      </c>
      <c r="J193" s="85" t="s">
        <v>208</v>
      </c>
      <c r="K193" s="85" t="s">
        <v>753</v>
      </c>
      <c r="L193" s="76">
        <v>45.184725</v>
      </c>
      <c r="M193" s="76">
        <v>9.1582070000000009</v>
      </c>
      <c r="N193" s="66" t="str">
        <f>HYPERLINK("https://link.springer.com/article/10.1007%2FBF02217551", "Direct link")</f>
        <v>Direct link</v>
      </c>
      <c r="O193" s="28">
        <v>3</v>
      </c>
      <c r="P193" s="54">
        <v>28411355</v>
      </c>
      <c r="Q193" s="54" t="str">
        <f>HYPERLINK("https://pubmed.ncbi.nlm.nih.gov/26537216/", "26537216")</f>
        <v>26537216</v>
      </c>
      <c r="R193" s="54"/>
      <c r="S193" s="7">
        <v>0</v>
      </c>
      <c r="T193" s="77"/>
      <c r="U193" s="53"/>
      <c r="V193" s="53"/>
      <c r="W193" s="7">
        <v>1</v>
      </c>
      <c r="X193" s="7">
        <v>0</v>
      </c>
      <c r="Y193" s="7">
        <v>0</v>
      </c>
      <c r="Z193" s="7">
        <v>1</v>
      </c>
      <c r="AA193" s="7">
        <v>0</v>
      </c>
      <c r="AB193" s="7">
        <v>1</v>
      </c>
      <c r="AC193" s="7">
        <v>0</v>
      </c>
      <c r="AD193" s="7">
        <v>1</v>
      </c>
      <c r="AE193" s="30">
        <v>23597620</v>
      </c>
      <c r="AF193" s="30" t="str">
        <f>HYPERLINK("https://pubmed.ncbi.nlm.nih.gov/4800498/", "4800498")</f>
        <v>4800498</v>
      </c>
      <c r="AG193" s="61">
        <v>0</v>
      </c>
      <c r="AH193" s="61">
        <v>1</v>
      </c>
      <c r="AI193" s="61">
        <v>1</v>
      </c>
      <c r="AJ193" s="61">
        <v>1</v>
      </c>
      <c r="AK193" s="61">
        <v>0</v>
      </c>
      <c r="AL193" s="64">
        <v>6749977</v>
      </c>
      <c r="AM193" s="64">
        <v>22612895</v>
      </c>
    </row>
    <row r="194" spans="1:39" ht="18" customHeight="1">
      <c r="A194" s="86" t="s">
        <v>511</v>
      </c>
      <c r="B194" s="82" t="s">
        <v>512</v>
      </c>
      <c r="C194" s="82" t="s">
        <v>513</v>
      </c>
      <c r="D194" s="82" t="s">
        <v>495</v>
      </c>
      <c r="E194" s="65" t="str">
        <f>HYPERLINK("https://ictv.global/taxonomy/taxondetails?taxnode_id=202301776","202301776")</f>
        <v>202301776</v>
      </c>
      <c r="F194" s="83">
        <v>1</v>
      </c>
      <c r="G194" s="3" t="s">
        <v>774</v>
      </c>
      <c r="H194" s="68"/>
      <c r="I194" s="84">
        <v>2015</v>
      </c>
      <c r="J194" s="85" t="s">
        <v>43</v>
      </c>
      <c r="K194" s="85" t="s">
        <v>757</v>
      </c>
      <c r="L194" s="76">
        <v>6.7393210000000003</v>
      </c>
      <c r="M194" s="76">
        <v>6.2190139999999996</v>
      </c>
      <c r="N194" s="66" t="str">
        <f>HYPERLINK("https://www.ncbi.nlm.nih.gov/pubmed/25781465", "25781465")</f>
        <v>25781465</v>
      </c>
      <c r="O194" s="28">
        <v>2</v>
      </c>
      <c r="P194" s="54">
        <v>25781465</v>
      </c>
      <c r="Q194" s="54"/>
      <c r="R194" s="54"/>
      <c r="S194" s="7" t="s">
        <v>17</v>
      </c>
      <c r="T194" s="77" t="s">
        <v>780</v>
      </c>
      <c r="U194" s="30" t="s">
        <v>514</v>
      </c>
      <c r="V194" s="30" t="str">
        <f>HYPERLINK("https://pubmed.ncbi.nlm.nih.gov/32106547/", "32106547")</f>
        <v>32106547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30">
        <v>23028323</v>
      </c>
      <c r="AF194" s="30" t="str">
        <f>HYPERLINK("https://pubmed.ncbi.nlm.nih.gov/32106547/", "32106547")</f>
        <v>32106547</v>
      </c>
      <c r="AG194" s="61">
        <v>0</v>
      </c>
      <c r="AH194" s="61" t="s">
        <v>17</v>
      </c>
      <c r="AI194" s="61" t="s">
        <v>17</v>
      </c>
      <c r="AJ194" s="61">
        <v>0</v>
      </c>
      <c r="AK194" s="61">
        <v>0</v>
      </c>
      <c r="AL194" s="64">
        <v>23028323</v>
      </c>
      <c r="AM194" s="64" t="str">
        <f>HYPERLINK("https://pubmed.ncbi.nlm.nih.gov/36329642/", "36329642" )</f>
        <v>36329642</v>
      </c>
    </row>
    <row r="195" spans="1:39" ht="18" customHeight="1">
      <c r="A195" s="86" t="s">
        <v>515</v>
      </c>
      <c r="B195" s="82" t="s">
        <v>516</v>
      </c>
      <c r="C195" s="82" t="s">
        <v>513</v>
      </c>
      <c r="D195" s="82" t="s">
        <v>495</v>
      </c>
      <c r="E195" s="65" t="str">
        <f>HYPERLINK("https://ictv.global/taxonomy/taxondetails?taxnode_id=202301777","202301777")</f>
        <v>202301777</v>
      </c>
      <c r="F195" s="83">
        <v>1</v>
      </c>
      <c r="G195" s="3" t="s">
        <v>774</v>
      </c>
      <c r="H195" s="68"/>
      <c r="I195" s="84">
        <v>2015</v>
      </c>
      <c r="J195" s="85" t="s">
        <v>43</v>
      </c>
      <c r="K195" s="85" t="s">
        <v>757</v>
      </c>
      <c r="L195" s="76">
        <v>6.7393210000000003</v>
      </c>
      <c r="M195" s="76">
        <v>6.2190139999999996</v>
      </c>
      <c r="N195" s="66" t="str">
        <f>HYPERLINK("https://www.ncbi.nlm.nih.gov/pubmed/25781465", "25781465")</f>
        <v>25781465</v>
      </c>
      <c r="O195" s="28">
        <v>2</v>
      </c>
      <c r="P195" s="54">
        <v>25781465</v>
      </c>
      <c r="Q195" s="54"/>
      <c r="R195" s="54"/>
      <c r="S195" s="7" t="s">
        <v>17</v>
      </c>
      <c r="T195" s="77" t="s">
        <v>780</v>
      </c>
      <c r="U195" s="30" t="s">
        <v>514</v>
      </c>
      <c r="V195" s="30" t="str">
        <f>HYPERLINK("https://pubmed.ncbi.nlm.nih.gov/32106547/", "32106547")</f>
        <v>32106547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30">
        <v>23028323</v>
      </c>
      <c r="AF195" s="30" t="str">
        <f>HYPERLINK("https://pubmed.ncbi.nlm.nih.gov/32106547/", "32106547")</f>
        <v>32106547</v>
      </c>
      <c r="AG195" s="61">
        <v>0</v>
      </c>
      <c r="AH195" s="61" t="s">
        <v>17</v>
      </c>
      <c r="AI195" s="61" t="s">
        <v>17</v>
      </c>
      <c r="AJ195" s="61">
        <v>0</v>
      </c>
      <c r="AK195" s="61">
        <v>0</v>
      </c>
      <c r="AL195" s="64">
        <v>23028323</v>
      </c>
      <c r="AM195" s="64" t="str">
        <f>HYPERLINK("https://pubmed.ncbi.nlm.nih.gov/36329642/", "36329642")</f>
        <v>36329642</v>
      </c>
    </row>
    <row r="196" spans="1:39" ht="18" customHeight="1">
      <c r="A196" s="86" t="s">
        <v>517</v>
      </c>
      <c r="B196" s="82" t="s">
        <v>518</v>
      </c>
      <c r="C196" s="82" t="s">
        <v>513</v>
      </c>
      <c r="D196" s="82" t="s">
        <v>495</v>
      </c>
      <c r="E196" s="65" t="str">
        <f>HYPERLINK("https://ictv.global/taxonomy/taxondetails?taxnode_id=202301774","202301774")</f>
        <v>202301774</v>
      </c>
      <c r="F196" s="83">
        <v>1</v>
      </c>
      <c r="G196" s="3" t="s">
        <v>774</v>
      </c>
      <c r="H196" s="68"/>
      <c r="I196" s="84">
        <v>2012</v>
      </c>
      <c r="J196" s="85" t="s">
        <v>131</v>
      </c>
      <c r="K196" s="85" t="s">
        <v>757</v>
      </c>
      <c r="L196" s="76">
        <v>-4.0383329999999997</v>
      </c>
      <c r="M196" s="76">
        <v>21.758664</v>
      </c>
      <c r="N196" s="66" t="str">
        <f>HYPERLINK("https://www.ncbi.nlm.nih.gov/pubmed/23028323", "23028323")</f>
        <v>23028323</v>
      </c>
      <c r="O196" s="28">
        <v>3</v>
      </c>
      <c r="P196" s="54">
        <v>23028323</v>
      </c>
      <c r="Q196" s="79" t="str">
        <f>HYPERLINK("https://pubmed.ncbi.nlm.nih.gov/37372162/", "37372162")</f>
        <v>37372162</v>
      </c>
      <c r="R196" s="79"/>
      <c r="S196" s="7" t="s">
        <v>17</v>
      </c>
      <c r="T196" s="77" t="s">
        <v>780</v>
      </c>
      <c r="U196" s="30" t="s">
        <v>519</v>
      </c>
      <c r="V196" s="30" t="str">
        <f>HYPERLINK("https://pubmed.ncbi.nlm.nih.gov/32106547/", "32106547")</f>
        <v>32106547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30">
        <v>23028323</v>
      </c>
      <c r="AF196" s="30" t="str">
        <f>HYPERLINK("https://pubmed.ncbi.nlm.nih.gov/32106547/", "32106547")</f>
        <v>32106547</v>
      </c>
      <c r="AG196" s="61">
        <v>0</v>
      </c>
      <c r="AH196" s="61" t="s">
        <v>17</v>
      </c>
      <c r="AI196" s="61" t="s">
        <v>17</v>
      </c>
      <c r="AJ196" s="61">
        <v>0</v>
      </c>
      <c r="AK196" s="61">
        <v>0</v>
      </c>
      <c r="AL196" s="64" t="str">
        <f>HYPERLINK("https://pubmed.ncbi.nlm.nih.gov/32106547/", "32106547")</f>
        <v>32106547</v>
      </c>
      <c r="AM196" s="64" t="str">
        <f>HYPERLINK("https://pubmed.ncbi.nlm.nih.gov/36329642/", "36329642")</f>
        <v>36329642</v>
      </c>
    </row>
    <row r="197" spans="1:39" ht="18" customHeight="1">
      <c r="A197" s="83" t="s">
        <v>983</v>
      </c>
      <c r="B197" s="82" t="s">
        <v>653</v>
      </c>
      <c r="C197" s="82" t="s">
        <v>513</v>
      </c>
      <c r="D197" s="82" t="s">
        <v>495</v>
      </c>
      <c r="E197" s="65" t="str">
        <f>HYPERLINK("https://ictv.global/taxonomy/taxondetails?taxnode_id=202314152","202314152")</f>
        <v>202314152</v>
      </c>
      <c r="F197" s="12">
        <v>1</v>
      </c>
      <c r="G197" s="3" t="s">
        <v>774</v>
      </c>
      <c r="H197" s="68"/>
      <c r="I197" s="84">
        <v>2022</v>
      </c>
      <c r="J197" s="45" t="s">
        <v>654</v>
      </c>
      <c r="K197" s="85" t="s">
        <v>757</v>
      </c>
      <c r="L197" s="75">
        <v>5.3481583078781902</v>
      </c>
      <c r="M197" s="75">
        <v>30.323681601554</v>
      </c>
      <c r="N197" s="66" t="str">
        <f>HYPERLINK("https://www.ncbi.nlm.nih.gov/pubmed/35215803", "35215803")</f>
        <v>35215803</v>
      </c>
      <c r="O197" s="29">
        <v>2</v>
      </c>
      <c r="P197" s="54" t="str">
        <f>HYPERLINK("https://pubmed.ncbi.nlm.nih.gov/35215803/", "35215803")</f>
        <v>35215803</v>
      </c>
      <c r="Q197" s="54"/>
      <c r="R197" s="55"/>
      <c r="S197" s="7" t="s">
        <v>17</v>
      </c>
      <c r="T197" s="77" t="s">
        <v>780</v>
      </c>
      <c r="U197" s="30">
        <v>35215803</v>
      </c>
      <c r="V197" s="53"/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30">
        <v>35215803</v>
      </c>
      <c r="AF197" s="30"/>
      <c r="AG197" s="61">
        <v>0</v>
      </c>
      <c r="AH197" s="61" t="s">
        <v>17</v>
      </c>
      <c r="AI197" s="61" t="s">
        <v>17</v>
      </c>
      <c r="AJ197" s="61">
        <v>0</v>
      </c>
      <c r="AK197" s="61">
        <v>0</v>
      </c>
      <c r="AL197" s="64" t="str">
        <f>HYPERLINK("https://pubmed.ncbi.nlm.nih.gov/35215803/", "35215803")</f>
        <v>35215803</v>
      </c>
      <c r="AM197" s="67"/>
    </row>
    <row r="198" spans="1:39" ht="18" customHeight="1">
      <c r="A198" s="86" t="s">
        <v>732</v>
      </c>
      <c r="B198" s="87" t="s">
        <v>520</v>
      </c>
      <c r="C198" s="82" t="s">
        <v>521</v>
      </c>
      <c r="D198" s="82" t="s">
        <v>495</v>
      </c>
      <c r="E198" s="65" t="str">
        <f>HYPERLINK("https://ictv.global/taxonomy/taxondetails?taxnode_id=202301789","202301789")</f>
        <v>202301789</v>
      </c>
      <c r="F198" s="83">
        <v>1</v>
      </c>
      <c r="G198" s="3" t="s">
        <v>774</v>
      </c>
      <c r="H198" s="68" t="s">
        <v>949</v>
      </c>
      <c r="I198" s="84">
        <v>1967</v>
      </c>
      <c r="J198" s="85" t="s">
        <v>19</v>
      </c>
      <c r="K198" s="85" t="s">
        <v>401</v>
      </c>
      <c r="L198" s="76">
        <v>-9.5713059999999999</v>
      </c>
      <c r="M198" s="76">
        <v>-36.781950000000002</v>
      </c>
      <c r="N198" s="66" t="str">
        <f>HYPERLINK("https://www.ncbi.nlm.nih.gov/pubmed/4291620", "4291620")</f>
        <v>4291620</v>
      </c>
      <c r="O198" s="28">
        <v>2</v>
      </c>
      <c r="P198" s="54" t="str">
        <f>HYPERLINK("https://www.ncbi.nlm.nih.gov/pubmed/3034087", "3034087")</f>
        <v>3034087</v>
      </c>
      <c r="Q198" s="54"/>
      <c r="R198" s="54"/>
      <c r="S198" s="7">
        <v>1</v>
      </c>
      <c r="T198" s="77" t="s">
        <v>142</v>
      </c>
      <c r="U198" s="30">
        <v>3034087</v>
      </c>
      <c r="V198" s="53"/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30">
        <v>3034087</v>
      </c>
      <c r="AF198" s="30">
        <v>23034141</v>
      </c>
      <c r="AG198" s="61">
        <v>0</v>
      </c>
      <c r="AH198" s="61">
        <v>0</v>
      </c>
      <c r="AI198" s="61">
        <v>1</v>
      </c>
      <c r="AJ198" s="61">
        <v>0</v>
      </c>
      <c r="AK198" s="61">
        <v>0</v>
      </c>
      <c r="AL198" s="64">
        <v>16021308</v>
      </c>
      <c r="AM198" s="64"/>
    </row>
    <row r="199" spans="1:39" ht="18" customHeight="1">
      <c r="A199" s="86" t="s">
        <v>522</v>
      </c>
      <c r="B199" s="87" t="s">
        <v>523</v>
      </c>
      <c r="C199" s="82" t="s">
        <v>521</v>
      </c>
      <c r="D199" s="82" t="s">
        <v>495</v>
      </c>
      <c r="E199" s="65" t="str">
        <f>HYPERLINK("https://ictv.global/taxonomy/taxondetails?taxnode_id=202301792","202301792")</f>
        <v>202301792</v>
      </c>
      <c r="F199" s="83">
        <v>1</v>
      </c>
      <c r="G199" s="3" t="s">
        <v>774</v>
      </c>
      <c r="H199" s="68" t="s">
        <v>950</v>
      </c>
      <c r="I199" s="84">
        <v>1967</v>
      </c>
      <c r="J199" s="85" t="s">
        <v>146</v>
      </c>
      <c r="K199" s="85" t="s">
        <v>754</v>
      </c>
      <c r="L199" s="76">
        <v>21.145800000000001</v>
      </c>
      <c r="M199" s="76">
        <v>79.088155</v>
      </c>
      <c r="N199" s="66" t="str">
        <f>HYPERLINK("https://www.ncbi.nlm.nih.gov/pubmed/4970067", "4970067")</f>
        <v>4970067</v>
      </c>
      <c r="O199" s="28">
        <v>2</v>
      </c>
      <c r="P199" s="54">
        <v>24056553</v>
      </c>
      <c r="Q199" s="54"/>
      <c r="R199" s="54"/>
      <c r="S199" s="7">
        <v>1</v>
      </c>
      <c r="T199" s="77" t="s">
        <v>142</v>
      </c>
      <c r="U199" s="30" t="str">
        <f>HYPERLINK("https://pubmed.ncbi.nlm.nih.gov/22721825/", "22721825")</f>
        <v>22721825</v>
      </c>
      <c r="V199" s="30" t="str">
        <f>HYPERLINK("https://pubmed.ncbi.nlm.nih.gov/37282388/", "37282388")</f>
        <v>37282388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30" t="s">
        <v>524</v>
      </c>
      <c r="AF199" s="30"/>
      <c r="AG199" s="61">
        <v>0</v>
      </c>
      <c r="AH199" s="61">
        <v>1</v>
      </c>
      <c r="AI199" s="61">
        <v>1</v>
      </c>
      <c r="AJ199" s="61">
        <v>0</v>
      </c>
      <c r="AK199" s="61">
        <v>0</v>
      </c>
      <c r="AL199" s="64">
        <v>22721825</v>
      </c>
      <c r="AM199" s="64">
        <v>15929402</v>
      </c>
    </row>
    <row r="200" spans="1:39" ht="18" customHeight="1">
      <c r="A200" s="86" t="s">
        <v>525</v>
      </c>
      <c r="B200" s="87" t="s">
        <v>526</v>
      </c>
      <c r="C200" s="82" t="s">
        <v>521</v>
      </c>
      <c r="D200" s="82" t="s">
        <v>495</v>
      </c>
      <c r="E200" s="65" t="str">
        <f>HYPERLINK("https://ictv.global/taxonomy/taxondetails?taxnode_id=202301793","202301793")</f>
        <v>202301793</v>
      </c>
      <c r="F200" s="83">
        <v>1</v>
      </c>
      <c r="G200" s="3" t="s">
        <v>774</v>
      </c>
      <c r="H200" s="68" t="s">
        <v>951</v>
      </c>
      <c r="I200" s="84">
        <v>1964</v>
      </c>
      <c r="J200" s="85" t="s">
        <v>386</v>
      </c>
      <c r="K200" s="85" t="s">
        <v>756</v>
      </c>
      <c r="L200" s="76">
        <v>10.429209</v>
      </c>
      <c r="M200" s="76">
        <v>-61.058779999999999</v>
      </c>
      <c r="N200" s="66" t="str">
        <f>HYPERLINK("https://www.ncbi.nlm.nih.gov/pubmed/14103231", "14103231")</f>
        <v>14103231</v>
      </c>
      <c r="O200" s="28">
        <v>2</v>
      </c>
      <c r="P200" s="54" t="str">
        <f>HYPERLINK("https://www.ncbi.nlm.nih.gov/pubmed/14103231", "14103231")</f>
        <v>14103231</v>
      </c>
      <c r="Q200" s="54"/>
      <c r="R200" s="54"/>
      <c r="S200" s="7">
        <v>1</v>
      </c>
      <c r="T200" s="77" t="s">
        <v>142</v>
      </c>
      <c r="U200" s="30">
        <v>14103231</v>
      </c>
      <c r="V200" s="53"/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30" t="s">
        <v>527</v>
      </c>
      <c r="AF200" s="30"/>
      <c r="AG200" s="62">
        <v>0</v>
      </c>
      <c r="AH200" s="62">
        <v>0</v>
      </c>
      <c r="AI200" s="61">
        <v>1</v>
      </c>
      <c r="AJ200" s="61">
        <v>0</v>
      </c>
      <c r="AK200" s="61">
        <v>0</v>
      </c>
      <c r="AL200" s="64">
        <v>21830071</v>
      </c>
      <c r="AM200" s="64"/>
    </row>
    <row r="201" spans="1:39" ht="18" customHeight="1">
      <c r="A201" s="86" t="s">
        <v>733</v>
      </c>
      <c r="B201" s="87" t="s">
        <v>528</v>
      </c>
      <c r="C201" s="82" t="s">
        <v>521</v>
      </c>
      <c r="D201" s="82" t="s">
        <v>495</v>
      </c>
      <c r="E201" s="65" t="str">
        <f>HYPERLINK("https://ictv.global/taxonomy/taxondetails?taxnode_id=202301794","202301794")</f>
        <v>202301794</v>
      </c>
      <c r="F201" s="83">
        <v>1</v>
      </c>
      <c r="G201" s="3" t="s">
        <v>774</v>
      </c>
      <c r="H201" s="68" t="s">
        <v>952</v>
      </c>
      <c r="I201" s="84">
        <v>1958</v>
      </c>
      <c r="J201" s="85" t="s">
        <v>29</v>
      </c>
      <c r="K201" s="85" t="s">
        <v>755</v>
      </c>
      <c r="L201" s="76">
        <v>39.046914000000001</v>
      </c>
      <c r="M201" s="76">
        <v>-76.901095999999995</v>
      </c>
      <c r="N201" s="66" t="str">
        <f>HYPERLINK("https://www.ncbi.nlm.nih.gov/pubmed/13549332", "13549332")</f>
        <v>13549332</v>
      </c>
      <c r="O201" s="28">
        <v>2</v>
      </c>
      <c r="P201" s="54">
        <v>10328837</v>
      </c>
      <c r="Q201" s="54"/>
      <c r="R201" s="54"/>
      <c r="S201" s="7">
        <v>1</v>
      </c>
      <c r="T201" s="77" t="s">
        <v>142</v>
      </c>
      <c r="U201" s="34" t="s">
        <v>529</v>
      </c>
      <c r="V201" s="30" t="str">
        <f>HYPERLINK("https://pubmed.ncbi.nlm.nih.gov/12034487/", "12034487")</f>
        <v>12034487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1</v>
      </c>
      <c r="AE201" s="30">
        <v>4335268</v>
      </c>
      <c r="AF201" s="30" t="str">
        <f>HYPERLINK("https://pubmed.ncbi.nlm.nih.gov/38402042/", "38402042")</f>
        <v>38402042</v>
      </c>
      <c r="AG201" s="61">
        <v>0</v>
      </c>
      <c r="AH201" s="61">
        <v>1</v>
      </c>
      <c r="AI201" s="61">
        <v>1</v>
      </c>
      <c r="AJ201" s="61">
        <v>0</v>
      </c>
      <c r="AK201" s="61">
        <v>0</v>
      </c>
      <c r="AL201" s="64">
        <v>12296402</v>
      </c>
      <c r="AM201" s="64"/>
    </row>
    <row r="202" spans="1:39" ht="18" customHeight="1">
      <c r="A202" s="86" t="s">
        <v>530</v>
      </c>
      <c r="B202" s="87" t="s">
        <v>531</v>
      </c>
      <c r="C202" s="82" t="s">
        <v>521</v>
      </c>
      <c r="D202" s="82" t="s">
        <v>495</v>
      </c>
      <c r="E202" s="65" t="str">
        <f>HYPERLINK("https://ictv.global/taxonomy/taxondetails?taxnode_id=202301795","202301795")</f>
        <v>202301795</v>
      </c>
      <c r="F202" s="83">
        <v>1</v>
      </c>
      <c r="G202" s="3" t="s">
        <v>774</v>
      </c>
      <c r="H202" s="68"/>
      <c r="I202" s="84">
        <v>1977</v>
      </c>
      <c r="J202" s="85" t="s">
        <v>751</v>
      </c>
      <c r="K202" s="85" t="s">
        <v>777</v>
      </c>
      <c r="L202" s="76">
        <v>33.277107000000001</v>
      </c>
      <c r="M202" s="76">
        <v>52.361338000000003</v>
      </c>
      <c r="N202" s="66" t="str">
        <f>HYPERLINK("https://www.ncbi.nlm.nih.gov/pubmed/192094", "192094")</f>
        <v>192094</v>
      </c>
      <c r="O202" s="58">
        <v>2</v>
      </c>
      <c r="P202" s="54">
        <v>192094</v>
      </c>
      <c r="Q202" s="54"/>
      <c r="R202" s="54"/>
      <c r="S202" s="7">
        <v>1</v>
      </c>
      <c r="T202" s="77" t="s">
        <v>142</v>
      </c>
      <c r="U202" s="30">
        <v>192094</v>
      </c>
      <c r="V202" s="53"/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30" t="s">
        <v>532</v>
      </c>
      <c r="AF202" s="30"/>
      <c r="AG202" s="61">
        <v>0</v>
      </c>
      <c r="AH202" s="61">
        <v>0</v>
      </c>
      <c r="AI202" s="61">
        <v>1</v>
      </c>
      <c r="AJ202" s="61">
        <v>0</v>
      </c>
      <c r="AK202" s="61">
        <v>0</v>
      </c>
      <c r="AL202" s="64">
        <v>192094</v>
      </c>
      <c r="AM202" s="64"/>
    </row>
    <row r="203" spans="1:39" ht="18" customHeight="1">
      <c r="A203" s="86" t="s">
        <v>533</v>
      </c>
      <c r="B203" s="87" t="s">
        <v>534</v>
      </c>
      <c r="C203" s="82" t="s">
        <v>521</v>
      </c>
      <c r="D203" s="82" t="s">
        <v>495</v>
      </c>
      <c r="E203" s="65" t="str">
        <f>HYPERLINK("https://ictv.global/taxonomy/taxondetails?taxnode_id=202301798","202301798")</f>
        <v>202301798</v>
      </c>
      <c r="F203" s="83">
        <v>1</v>
      </c>
      <c r="G203" s="3" t="s">
        <v>774</v>
      </c>
      <c r="H203" s="68" t="s">
        <v>953</v>
      </c>
      <c r="I203" s="84">
        <v>1984</v>
      </c>
      <c r="J203" s="85" t="s">
        <v>19</v>
      </c>
      <c r="K203" s="85" t="s">
        <v>401</v>
      </c>
      <c r="L203" s="76">
        <v>-3.4653049999999999</v>
      </c>
      <c r="M203" s="76">
        <v>-62.215881000000003</v>
      </c>
      <c r="N203" s="66" t="str">
        <f>HYPERLINK("https://www.ncbi.nlm.nih.gov/pubmed/6091472", "6091472")</f>
        <v>6091472</v>
      </c>
      <c r="O203" s="28">
        <v>2</v>
      </c>
      <c r="P203" s="54">
        <v>6091472</v>
      </c>
      <c r="Q203" s="54"/>
      <c r="R203" s="54"/>
      <c r="S203" s="7">
        <v>1</v>
      </c>
      <c r="T203" s="77" t="s">
        <v>142</v>
      </c>
      <c r="U203" s="30">
        <v>6091472</v>
      </c>
      <c r="V203" s="30" t="str">
        <f>HYPERLINK("https://pubmed.ncbi.nlm.nih.gov/37018120/", "37018120")</f>
        <v>37018120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30">
        <v>6091472</v>
      </c>
      <c r="AF203" s="30"/>
      <c r="AG203" s="61">
        <v>0</v>
      </c>
      <c r="AH203" s="61">
        <v>0</v>
      </c>
      <c r="AI203" s="61">
        <v>1</v>
      </c>
      <c r="AJ203" s="61">
        <v>0</v>
      </c>
      <c r="AK203" s="61">
        <v>0</v>
      </c>
      <c r="AL203" s="64">
        <v>6091472</v>
      </c>
      <c r="AM203" s="64"/>
    </row>
    <row r="204" spans="1:39" ht="18" customHeight="1">
      <c r="A204" s="86" t="s">
        <v>734</v>
      </c>
      <c r="B204" s="87" t="s">
        <v>535</v>
      </c>
      <c r="C204" s="82" t="s">
        <v>521</v>
      </c>
      <c r="D204" s="82" t="s">
        <v>495</v>
      </c>
      <c r="E204" s="65" t="str">
        <f>HYPERLINK("https://ictv.global/taxonomy/taxondetails?taxnode_id=202301800","202301800")</f>
        <v>202301800</v>
      </c>
      <c r="F204" s="83">
        <v>1</v>
      </c>
      <c r="G204" s="3" t="s">
        <v>774</v>
      </c>
      <c r="H204" s="68" t="s">
        <v>954</v>
      </c>
      <c r="I204" s="84">
        <v>1950</v>
      </c>
      <c r="J204" s="85" t="s">
        <v>29</v>
      </c>
      <c r="K204" s="85" t="s">
        <v>755</v>
      </c>
      <c r="L204" s="76">
        <v>43.073051999999997</v>
      </c>
      <c r="M204" s="76">
        <v>-89.401229999999998</v>
      </c>
      <c r="N204" s="66" t="str">
        <f>HYPERLINK("https://www.ncbi.nlm.nih.gov/pubmed/14784641", "14784641")</f>
        <v>14784641</v>
      </c>
      <c r="O204" s="28">
        <v>2</v>
      </c>
      <c r="P204" s="54" t="str">
        <f>HYPERLINK("https://pubmed.ncbi.nlm.nih.gov/3028192/", "3028192")</f>
        <v>3028192</v>
      </c>
      <c r="Q204" s="54"/>
      <c r="R204" s="54"/>
      <c r="S204" s="7">
        <v>1</v>
      </c>
      <c r="T204" s="77" t="s">
        <v>154</v>
      </c>
      <c r="U204" s="30" t="str">
        <f>HYPERLINK("https://pubmed.ncbi.nlm.nih.gov/12034487/", "12034487")</f>
        <v>12034487</v>
      </c>
      <c r="V204" s="30" t="str">
        <f>HYPERLINK("https://pubmed.ncbi.nlm.nih.gov/38414030/", "38414030")</f>
        <v>38414030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1</v>
      </c>
      <c r="AE204" s="30" t="str">
        <f>HYPERLINK("https://pubmed.ncbi.nlm.nih.gov/38402042/", "38402042")</f>
        <v>38402042</v>
      </c>
      <c r="AF204" s="30" t="str">
        <f>HYPERLINK("https://pubmed.ncbi.nlm.nih.gov/36737291/", "36737291")</f>
        <v>36737291</v>
      </c>
      <c r="AG204" s="61">
        <v>0</v>
      </c>
      <c r="AH204" s="61">
        <v>0</v>
      </c>
      <c r="AI204" s="61">
        <v>1</v>
      </c>
      <c r="AJ204" s="61">
        <v>0</v>
      </c>
      <c r="AK204" s="61">
        <v>0</v>
      </c>
      <c r="AL204" s="64">
        <v>12296402</v>
      </c>
      <c r="AM204" s="64"/>
    </row>
    <row r="205" spans="1:39" ht="18" customHeight="1">
      <c r="A205" s="80" t="s">
        <v>536</v>
      </c>
      <c r="B205" s="87" t="s">
        <v>537</v>
      </c>
      <c r="C205" s="82" t="s">
        <v>521</v>
      </c>
      <c r="D205" s="82" t="s">
        <v>495</v>
      </c>
      <c r="E205" s="65" t="str">
        <f>HYPERLINK("https://ictv.global/taxonomy/taxondetails?taxnode_id=202301802","202301802")</f>
        <v>202301802</v>
      </c>
      <c r="F205" s="83">
        <v>1</v>
      </c>
      <c r="G205" s="3" t="s">
        <v>774</v>
      </c>
      <c r="H205" s="68" t="s">
        <v>955</v>
      </c>
      <c r="I205" s="84">
        <v>1974</v>
      </c>
      <c r="J205" s="85" t="s">
        <v>19</v>
      </c>
      <c r="K205" s="85" t="s">
        <v>401</v>
      </c>
      <c r="L205" s="74">
        <v>-5.3811330000000002</v>
      </c>
      <c r="M205" s="74">
        <v>-49.133105</v>
      </c>
      <c r="N205" s="66" t="str">
        <f>HYPERLINK("https://www.ncbi.nlm.nih.gov/pubmed/4604602", "4604602")</f>
        <v>4604602</v>
      </c>
      <c r="O205" s="28">
        <v>2</v>
      </c>
      <c r="P205" s="54" t="str">
        <f>HYPERLINK("https://www.ncbi.nlm.nih.gov/pubmed/4604602", "4604602")</f>
        <v>4604602</v>
      </c>
      <c r="Q205" s="54"/>
      <c r="R205" s="54"/>
      <c r="S205" s="7">
        <v>1</v>
      </c>
      <c r="T205" s="77" t="s">
        <v>142</v>
      </c>
      <c r="U205" s="30">
        <v>4097557</v>
      </c>
      <c r="V205" s="53"/>
      <c r="W205" s="7">
        <v>1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30" t="str">
        <f>HYPERLINK("https://pubmed.ncbi.nlm.nih.gov/21497126/", "21497126")</f>
        <v>21497126</v>
      </c>
      <c r="AF205" s="30" t="str">
        <f>HYPERLINK("https://pubmed.ncbi.nlm.nih.gov/22872199/", "22872199")</f>
        <v>22872199</v>
      </c>
      <c r="AG205" s="61">
        <v>0</v>
      </c>
      <c r="AH205" s="61">
        <v>1</v>
      </c>
      <c r="AI205" s="61">
        <v>1</v>
      </c>
      <c r="AJ205" s="61">
        <v>0</v>
      </c>
      <c r="AK205" s="61">
        <v>0</v>
      </c>
      <c r="AL205" s="64">
        <v>6747282</v>
      </c>
      <c r="AM205" s="64"/>
    </row>
    <row r="206" spans="1:39" ht="18" customHeight="1">
      <c r="A206" s="80" t="s">
        <v>538</v>
      </c>
      <c r="B206" s="81" t="s">
        <v>539</v>
      </c>
      <c r="C206" s="93" t="s">
        <v>540</v>
      </c>
      <c r="D206" s="82" t="s">
        <v>541</v>
      </c>
      <c r="E206" s="65" t="str">
        <f>HYPERLINK("https://ictv.global/taxonomy/taxondetails?taxnode_id=202304883","202304883")</f>
        <v>202304883</v>
      </c>
      <c r="F206" s="83">
        <v>0</v>
      </c>
      <c r="G206" s="3" t="s">
        <v>423</v>
      </c>
      <c r="H206" s="68" t="s">
        <v>956</v>
      </c>
      <c r="I206" s="84">
        <v>1967</v>
      </c>
      <c r="J206" s="85" t="s">
        <v>66</v>
      </c>
      <c r="K206" s="85" t="s">
        <v>752</v>
      </c>
      <c r="L206" s="74">
        <v>-13.357265999999999</v>
      </c>
      <c r="M206" s="74">
        <v>141.72806600000001</v>
      </c>
      <c r="N206" s="66" t="str">
        <f>HYPERLINK("http://onlinelibrary.wiley.com/doi/10.1111/j.1440-1754.1967.tb01714.x/full", "Direct link")</f>
        <v>Direct link</v>
      </c>
      <c r="O206" s="58">
        <v>2</v>
      </c>
      <c r="P206" s="54" t="str">
        <f>HYPERLINK("http://onlinelibrary.wiley.com/doi/10.1111/j.1440-1754.1967.tb01714.x/full", "Direct link")</f>
        <v>Direct link</v>
      </c>
      <c r="Q206" s="54"/>
      <c r="R206" s="54"/>
      <c r="S206" s="7">
        <v>1</v>
      </c>
      <c r="T206" s="77" t="s">
        <v>154</v>
      </c>
      <c r="U206" s="30">
        <v>27213426</v>
      </c>
      <c r="V206" s="53"/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30">
        <v>19766284</v>
      </c>
      <c r="AF206" s="30">
        <v>27213426</v>
      </c>
      <c r="AG206" s="62">
        <v>0</v>
      </c>
      <c r="AH206" s="62">
        <v>0</v>
      </c>
      <c r="AI206" s="61">
        <v>1</v>
      </c>
      <c r="AJ206" s="61">
        <v>1</v>
      </c>
      <c r="AK206" s="61">
        <v>0</v>
      </c>
      <c r="AL206" s="64">
        <v>27213426</v>
      </c>
      <c r="AM206" s="64"/>
    </row>
    <row r="207" spans="1:39" ht="18" customHeight="1">
      <c r="A207" s="86" t="s">
        <v>542</v>
      </c>
      <c r="B207" s="87" t="s">
        <v>543</v>
      </c>
      <c r="C207" s="93" t="s">
        <v>540</v>
      </c>
      <c r="D207" s="82" t="s">
        <v>541</v>
      </c>
      <c r="E207" s="65" t="str">
        <f>HYPERLINK("https://ictv.global/taxonomy/taxondetails?taxnode_id=202304889","202304889")</f>
        <v>202304889</v>
      </c>
      <c r="F207" s="83">
        <v>0</v>
      </c>
      <c r="G207" s="3" t="s">
        <v>423</v>
      </c>
      <c r="H207" s="68" t="s">
        <v>957</v>
      </c>
      <c r="I207" s="84">
        <v>1975</v>
      </c>
      <c r="J207" s="85" t="s">
        <v>43</v>
      </c>
      <c r="K207" s="85" t="s">
        <v>757</v>
      </c>
      <c r="L207" s="76">
        <v>7.377535</v>
      </c>
      <c r="M207" s="76">
        <v>3.9470399999999999</v>
      </c>
      <c r="N207" s="66" t="str">
        <f>HYPERLINK("https://www.ncbi.nlm.nih.gov/pubmed/1124969", "1124969")</f>
        <v>1124969</v>
      </c>
      <c r="O207" s="28">
        <v>2</v>
      </c>
      <c r="P207" s="54" t="str">
        <f>HYPERLINK("https://www.ncbi.nlm.nih.gov/pubmed/1124969", "1124969")</f>
        <v>1124969</v>
      </c>
      <c r="Q207" s="54"/>
      <c r="R207" s="54"/>
      <c r="S207" s="7">
        <v>1</v>
      </c>
      <c r="T207" s="77" t="s">
        <v>154</v>
      </c>
      <c r="U207" s="30" t="str">
        <f>HYPERLINK("https://pubmed.ncbi.nlm.nih.gov/2033390/", "2033390")</f>
        <v>2033390</v>
      </c>
      <c r="V207" s="53"/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30" t="s">
        <v>544</v>
      </c>
      <c r="AF207" s="30"/>
      <c r="AG207" s="61">
        <v>0</v>
      </c>
      <c r="AH207" s="61">
        <v>0</v>
      </c>
      <c r="AI207" s="61">
        <v>1</v>
      </c>
      <c r="AJ207" s="61">
        <v>0</v>
      </c>
      <c r="AK207" s="61">
        <v>0</v>
      </c>
      <c r="AL207" s="64">
        <v>24475112</v>
      </c>
      <c r="AM207" s="64"/>
    </row>
    <row r="208" spans="1:39" ht="18" customHeight="1">
      <c r="A208" s="86" t="s">
        <v>545</v>
      </c>
      <c r="B208" s="87" t="s">
        <v>546</v>
      </c>
      <c r="C208" s="93" t="s">
        <v>540</v>
      </c>
      <c r="D208" s="82" t="s">
        <v>541</v>
      </c>
      <c r="E208" s="65" t="str">
        <f>HYPERLINK("https://ictv.global/taxonomy/taxondetails?taxnode_id=202304887","202304887")</f>
        <v>202304887</v>
      </c>
      <c r="F208" s="83">
        <v>0</v>
      </c>
      <c r="G208" s="3" t="s">
        <v>423</v>
      </c>
      <c r="H208" s="68" t="s">
        <v>958</v>
      </c>
      <c r="I208" s="84">
        <v>1963</v>
      </c>
      <c r="J208" s="85" t="s">
        <v>748</v>
      </c>
      <c r="K208" s="85" t="s">
        <v>754</v>
      </c>
      <c r="L208" s="75">
        <v>55.345022999999998</v>
      </c>
      <c r="M208" s="75">
        <v>86.062303999999997</v>
      </c>
      <c r="N208" s="66" t="str">
        <f>HYPERLINK("https://www.ncbi.nlm.nih.gov/pubmed/14071281", "14071281")</f>
        <v>14071281</v>
      </c>
      <c r="O208" s="28">
        <v>2</v>
      </c>
      <c r="P208" s="54">
        <v>15938513</v>
      </c>
      <c r="Q208" s="54"/>
      <c r="R208" s="54"/>
      <c r="S208" s="7">
        <v>1</v>
      </c>
      <c r="T208" s="77" t="s">
        <v>276</v>
      </c>
      <c r="U208" s="30" t="str">
        <f>HYPERLINK("https://pubmed.ncbi.nlm.nih.gov/26350980/", "26350980")</f>
        <v>26350980</v>
      </c>
      <c r="V208" s="53"/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30" t="s">
        <v>547</v>
      </c>
      <c r="AF208" s="30" t="s">
        <v>548</v>
      </c>
      <c r="AG208" s="61">
        <v>0</v>
      </c>
      <c r="AH208" s="61">
        <v>0</v>
      </c>
      <c r="AI208" s="61">
        <v>1</v>
      </c>
      <c r="AJ208" s="61">
        <v>1</v>
      </c>
      <c r="AK208" s="61">
        <v>0</v>
      </c>
      <c r="AL208" s="64">
        <v>16216136</v>
      </c>
      <c r="AM208" s="64">
        <v>26350980</v>
      </c>
    </row>
    <row r="209" spans="1:39" ht="18" customHeight="1">
      <c r="A209" s="86" t="s">
        <v>549</v>
      </c>
      <c r="B209" s="87" t="s">
        <v>550</v>
      </c>
      <c r="C209" s="93" t="s">
        <v>540</v>
      </c>
      <c r="D209" s="82" t="s">
        <v>541</v>
      </c>
      <c r="E209" s="65" t="str">
        <f>HYPERLINK("https://ictv.global/taxonomy/taxondetails?taxnode_id=202304890","202304890")</f>
        <v>202304890</v>
      </c>
      <c r="F209" s="83">
        <v>0</v>
      </c>
      <c r="G209" s="3" t="s">
        <v>423</v>
      </c>
      <c r="H209" s="68" t="s">
        <v>959</v>
      </c>
      <c r="I209" s="84">
        <v>1976</v>
      </c>
      <c r="J209" s="85" t="s">
        <v>43</v>
      </c>
      <c r="K209" s="85" t="s">
        <v>757</v>
      </c>
      <c r="L209" s="76">
        <v>7.377535</v>
      </c>
      <c r="M209" s="76">
        <v>3.9470399999999999</v>
      </c>
      <c r="N209" s="66" t="str">
        <f>HYPERLINK("https://www.ncbi.nlm.nih.gov/pubmed/973798", "973798")</f>
        <v>973798</v>
      </c>
      <c r="O209" s="28">
        <v>2</v>
      </c>
      <c r="P209" s="54" t="str">
        <f>HYPERLINK("https://www.ncbi.nlm.nih.gov/pubmed/7435793", "7435793")</f>
        <v>7435793</v>
      </c>
      <c r="Q209" s="54"/>
      <c r="R209" s="54"/>
      <c r="S209" s="7">
        <v>1</v>
      </c>
      <c r="T209" s="77" t="s">
        <v>154</v>
      </c>
      <c r="U209" s="30">
        <v>24475112</v>
      </c>
      <c r="V209" s="53"/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30" t="s">
        <v>544</v>
      </c>
      <c r="AF209" s="30"/>
      <c r="AG209" s="61">
        <v>0</v>
      </c>
      <c r="AH209" s="61">
        <v>1</v>
      </c>
      <c r="AI209" s="61">
        <v>1</v>
      </c>
      <c r="AJ209" s="61">
        <v>0</v>
      </c>
      <c r="AK209" s="61">
        <v>0</v>
      </c>
      <c r="AL209" s="64">
        <v>24475112</v>
      </c>
      <c r="AM209" s="64"/>
    </row>
    <row r="210" spans="1:39" ht="18" customHeight="1">
      <c r="A210" s="86" t="s">
        <v>551</v>
      </c>
      <c r="B210" s="87" t="s">
        <v>552</v>
      </c>
      <c r="C210" s="82" t="s">
        <v>553</v>
      </c>
      <c r="D210" s="82" t="s">
        <v>541</v>
      </c>
      <c r="E210" s="65" t="str">
        <f>HYPERLINK("https://ictv.global/taxonomy/taxondetails?taxnode_id=202304905","202304905")</f>
        <v>202304905</v>
      </c>
      <c r="F210" s="83">
        <v>0</v>
      </c>
      <c r="G210" s="3" t="s">
        <v>423</v>
      </c>
      <c r="H210" s="68" t="s">
        <v>960</v>
      </c>
      <c r="I210" s="84">
        <v>1973</v>
      </c>
      <c r="J210" s="85" t="s">
        <v>161</v>
      </c>
      <c r="K210" s="85" t="s">
        <v>752</v>
      </c>
      <c r="L210" s="76">
        <v>-37.813628000000001</v>
      </c>
      <c r="M210" s="76">
        <v>144.96305799999999</v>
      </c>
      <c r="N210" s="66" t="str">
        <f>HYPERLINK("https://www.ncbi.nlm.nih.gov/pubmed/4127639", "4127639")</f>
        <v>4127639</v>
      </c>
      <c r="O210" s="58" t="s">
        <v>81</v>
      </c>
      <c r="P210" s="54">
        <v>29573357</v>
      </c>
      <c r="Q210" s="54">
        <v>18679786</v>
      </c>
      <c r="R210" s="54"/>
      <c r="S210" s="7">
        <v>0</v>
      </c>
      <c r="T210" s="77"/>
      <c r="U210" s="53"/>
      <c r="V210" s="53"/>
      <c r="W210" s="7">
        <v>1</v>
      </c>
      <c r="X210" s="7">
        <v>1</v>
      </c>
      <c r="Y210" s="7">
        <v>0</v>
      </c>
      <c r="Z210" s="7">
        <v>0</v>
      </c>
      <c r="AA210" s="7">
        <v>1</v>
      </c>
      <c r="AB210" s="7">
        <v>0</v>
      </c>
      <c r="AC210" s="7">
        <v>0</v>
      </c>
      <c r="AD210" s="7">
        <v>1</v>
      </c>
      <c r="AE210" s="30">
        <v>21575246</v>
      </c>
      <c r="AF210" s="30">
        <v>18712810</v>
      </c>
      <c r="AG210" s="61">
        <v>0</v>
      </c>
      <c r="AH210" s="61">
        <v>1</v>
      </c>
      <c r="AI210" s="61">
        <v>1</v>
      </c>
      <c r="AJ210" s="61">
        <v>1</v>
      </c>
      <c r="AK210" s="61">
        <v>0</v>
      </c>
      <c r="AL210" s="64">
        <v>18712810</v>
      </c>
      <c r="AM210" s="64">
        <v>2122998</v>
      </c>
    </row>
    <row r="211" spans="1:39" ht="18" customHeight="1">
      <c r="A211" s="86" t="s">
        <v>554</v>
      </c>
      <c r="B211" s="87" t="s">
        <v>555</v>
      </c>
      <c r="C211" s="82" t="s">
        <v>553</v>
      </c>
      <c r="D211" s="82" t="s">
        <v>541</v>
      </c>
      <c r="E211" s="65" t="str">
        <f>HYPERLINK("https://ictv.global/taxonomy/taxondetails?taxnode_id=202304912","202304912")</f>
        <v>202304912</v>
      </c>
      <c r="F211" s="83">
        <v>0</v>
      </c>
      <c r="G211" s="3" t="s">
        <v>423</v>
      </c>
      <c r="H211" s="68"/>
      <c r="I211" s="84">
        <v>1987</v>
      </c>
      <c r="J211" s="85" t="s">
        <v>108</v>
      </c>
      <c r="K211" s="85" t="s">
        <v>754</v>
      </c>
      <c r="L211" s="75">
        <v>27.554599</v>
      </c>
      <c r="M211" s="75">
        <v>109.964157</v>
      </c>
      <c r="N211" s="66" t="str">
        <f>HYPERLINK("https://www.cabidigitallibrary.org/action/doSearch?AllField=19882045537&amp;target=default&amp;content=dbpubsItemsp", "Direct link")</f>
        <v>Direct link</v>
      </c>
      <c r="O211" s="58">
        <v>3</v>
      </c>
      <c r="P211" s="54" t="str">
        <f>HYPERLINK("https://www.ncbi.nlm.nih.gov/pubmed/18796732", "18796732")</f>
        <v>18796732</v>
      </c>
      <c r="Q211" s="54"/>
      <c r="R211" s="54"/>
      <c r="S211" s="7">
        <v>0</v>
      </c>
      <c r="T211" s="77"/>
      <c r="U211" s="53"/>
      <c r="V211" s="53"/>
      <c r="W211" s="7">
        <v>0</v>
      </c>
      <c r="X211" s="7">
        <v>1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1</v>
      </c>
      <c r="AE211" s="30" t="s">
        <v>556</v>
      </c>
      <c r="AF211" s="30"/>
      <c r="AG211" s="61">
        <v>0</v>
      </c>
      <c r="AH211" s="61">
        <v>0</v>
      </c>
      <c r="AI211" s="61">
        <v>1</v>
      </c>
      <c r="AJ211" s="61">
        <v>0</v>
      </c>
      <c r="AK211" s="61">
        <v>0</v>
      </c>
      <c r="AL211" s="64">
        <v>26658066</v>
      </c>
      <c r="AM211" s="64"/>
    </row>
    <row r="212" spans="1:39" ht="18" customHeight="1">
      <c r="A212" s="80" t="s">
        <v>557</v>
      </c>
      <c r="B212" s="81" t="s">
        <v>558</v>
      </c>
      <c r="C212" s="82" t="s">
        <v>553</v>
      </c>
      <c r="D212" s="82" t="s">
        <v>541</v>
      </c>
      <c r="E212" s="65" t="str">
        <f>HYPERLINK("https://ictv.global/taxonomy/taxondetails?taxnode_id=202304906","202304906")</f>
        <v>202304906</v>
      </c>
      <c r="F212" s="83">
        <v>0</v>
      </c>
      <c r="G212" s="3" t="s">
        <v>423</v>
      </c>
      <c r="H212" s="68" t="s">
        <v>961</v>
      </c>
      <c r="I212" s="84">
        <v>1984</v>
      </c>
      <c r="J212" s="85" t="s">
        <v>108</v>
      </c>
      <c r="K212" s="85" t="s">
        <v>754</v>
      </c>
      <c r="L212" s="74">
        <v>41.095685000000003</v>
      </c>
      <c r="M212" s="74">
        <v>121.126846</v>
      </c>
      <c r="N212" s="66" t="str">
        <f>HYPERLINK("https://www.ncbi.nlm.nih.gov/pubmed/6144874", "6144874")</f>
        <v>6144874</v>
      </c>
      <c r="O212" s="58" t="s">
        <v>81</v>
      </c>
      <c r="P212" s="54" t="str">
        <f>HYPERLINK("https://www.ncbi.nlm.nih.gov/pubmed/1645368", "1645368")</f>
        <v>1645368</v>
      </c>
      <c r="Q212" s="54"/>
      <c r="R212" s="54"/>
      <c r="S212" s="7">
        <v>0</v>
      </c>
      <c r="T212" s="77"/>
      <c r="U212" s="53"/>
      <c r="V212" s="53"/>
      <c r="W212" s="7">
        <v>0</v>
      </c>
      <c r="X212" s="7">
        <v>1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1</v>
      </c>
      <c r="AE212" s="30" t="s">
        <v>559</v>
      </c>
      <c r="AF212" s="30"/>
      <c r="AG212" s="61">
        <v>0</v>
      </c>
      <c r="AH212" s="61">
        <v>0</v>
      </c>
      <c r="AI212" s="61">
        <v>1</v>
      </c>
      <c r="AJ212" s="61">
        <v>0</v>
      </c>
      <c r="AK212" s="61">
        <v>0</v>
      </c>
      <c r="AL212" s="64">
        <v>9230391</v>
      </c>
      <c r="AM212" s="64"/>
    </row>
    <row r="213" spans="1:39" ht="18" customHeight="1">
      <c r="A213" s="86" t="s">
        <v>560</v>
      </c>
      <c r="B213" s="87" t="s">
        <v>561</v>
      </c>
      <c r="C213" s="82" t="s">
        <v>553</v>
      </c>
      <c r="D213" s="82" t="s">
        <v>541</v>
      </c>
      <c r="E213" s="65" t="str">
        <f>HYPERLINK("https://ictv.global/taxonomy/taxondetails?taxnode_id=202304907","202304907")</f>
        <v>202304907</v>
      </c>
      <c r="F213" s="83">
        <v>0</v>
      </c>
      <c r="G213" s="3" t="s">
        <v>423</v>
      </c>
      <c r="H213" s="68" t="s">
        <v>962</v>
      </c>
      <c r="I213" s="84">
        <v>1986</v>
      </c>
      <c r="J213" s="85" t="s">
        <v>61</v>
      </c>
      <c r="K213" s="85" t="s">
        <v>753</v>
      </c>
      <c r="L213" s="76">
        <v>51.507351</v>
      </c>
      <c r="M213" s="76">
        <v>-0.12775800000000001</v>
      </c>
      <c r="N213" s="66" t="str">
        <f>HYPERLINK("https://www.ncbi.nlm.nih.gov/pubmed/3009541", "3009541")</f>
        <v>3009541</v>
      </c>
      <c r="O213" s="58" t="s">
        <v>81</v>
      </c>
      <c r="P213" s="54">
        <v>15330133</v>
      </c>
      <c r="Q213" s="54">
        <v>28805733</v>
      </c>
      <c r="R213" s="54"/>
      <c r="S213" s="7">
        <v>0</v>
      </c>
      <c r="T213" s="77"/>
      <c r="U213" s="53"/>
      <c r="V213" s="53"/>
      <c r="W213" s="7">
        <v>0</v>
      </c>
      <c r="X213" s="7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1</v>
      </c>
      <c r="AE213" s="30">
        <v>28558823</v>
      </c>
      <c r="AF213" s="30"/>
      <c r="AG213" s="61">
        <v>0</v>
      </c>
      <c r="AH213" s="61">
        <v>0</v>
      </c>
      <c r="AI213" s="61">
        <v>1</v>
      </c>
      <c r="AJ213" s="61">
        <v>0</v>
      </c>
      <c r="AK213" s="61">
        <v>0</v>
      </c>
      <c r="AL213" s="64">
        <v>18712810</v>
      </c>
      <c r="AM213" s="64"/>
    </row>
    <row r="214" spans="1:39" ht="18" customHeight="1">
      <c r="A214" s="86" t="s">
        <v>562</v>
      </c>
      <c r="B214" s="87" t="s">
        <v>563</v>
      </c>
      <c r="C214" s="82" t="s">
        <v>564</v>
      </c>
      <c r="D214" s="82" t="s">
        <v>541</v>
      </c>
      <c r="E214" s="65" t="str">
        <f>HYPERLINK("https://ictv.global/taxonomy/taxondetails?taxnode_id=202304915","202304915")</f>
        <v>202304915</v>
      </c>
      <c r="F214" s="83">
        <v>0</v>
      </c>
      <c r="G214" s="3" t="s">
        <v>423</v>
      </c>
      <c r="H214" s="68" t="s">
        <v>963</v>
      </c>
      <c r="I214" s="84">
        <v>1990</v>
      </c>
      <c r="J214" s="85" t="s">
        <v>108</v>
      </c>
      <c r="K214" s="85" t="s">
        <v>754</v>
      </c>
      <c r="L214" s="76">
        <v>22.00881</v>
      </c>
      <c r="M214" s="76">
        <v>100.79715</v>
      </c>
      <c r="N214" s="66" t="str">
        <f>HYPERLINK("https://www.cabidigitallibrary.org/action/doSearch?AllField=19940502993", "Direct link")</f>
        <v>Direct link</v>
      </c>
      <c r="O214" s="28">
        <v>2</v>
      </c>
      <c r="P214" s="54">
        <v>16318717</v>
      </c>
      <c r="Q214" s="54"/>
      <c r="R214" s="54"/>
      <c r="S214" s="7">
        <v>1</v>
      </c>
      <c r="T214" s="77" t="s">
        <v>142</v>
      </c>
      <c r="U214" s="30" t="str">
        <f>HYPERLINK("https://pubmed.ncbi.nlm.nih.gov/38793556/", "38793556")</f>
        <v>38793556</v>
      </c>
      <c r="V214" s="30">
        <v>3322026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30">
        <v>18680655</v>
      </c>
      <c r="AF214" s="30"/>
      <c r="AG214" s="61">
        <v>0</v>
      </c>
      <c r="AH214" s="61">
        <v>0</v>
      </c>
      <c r="AI214" s="61">
        <v>1</v>
      </c>
      <c r="AJ214" s="61">
        <v>0</v>
      </c>
      <c r="AK214" s="61">
        <v>0</v>
      </c>
      <c r="AL214" s="64">
        <v>18680655</v>
      </c>
      <c r="AM214" s="64"/>
    </row>
    <row r="215" spans="1:39" ht="18" customHeight="1">
      <c r="A215" s="86" t="s">
        <v>565</v>
      </c>
      <c r="B215" s="87" t="s">
        <v>566</v>
      </c>
      <c r="C215" s="82" t="s">
        <v>567</v>
      </c>
      <c r="D215" s="82" t="s">
        <v>568</v>
      </c>
      <c r="E215" s="65" t="str">
        <f>HYPERLINK("https://ictv.global/taxonomy/taxondetails?taxnode_id=202304928","202304928")</f>
        <v>202304928</v>
      </c>
      <c r="F215" s="83">
        <v>0</v>
      </c>
      <c r="G215" s="3" t="s">
        <v>423</v>
      </c>
      <c r="H215" s="68" t="s">
        <v>964</v>
      </c>
      <c r="I215" s="84">
        <v>1946</v>
      </c>
      <c r="J215" s="85" t="s">
        <v>29</v>
      </c>
      <c r="K215" s="85" t="s">
        <v>755</v>
      </c>
      <c r="L215" s="76">
        <v>39.739235999999998</v>
      </c>
      <c r="M215" s="76">
        <v>-104.990251</v>
      </c>
      <c r="N215" s="66" t="str">
        <f>HYPERLINK("https://www.ncbi.nlm.nih.gov/pubmed/19871512", "19871512")</f>
        <v>19871512</v>
      </c>
      <c r="O215" s="59">
        <v>3</v>
      </c>
      <c r="P215" s="54">
        <v>15938513</v>
      </c>
      <c r="Q215" s="54" t="str">
        <f>HYPERLINK("https://pubmed.ncbi.nlm.nih.gov/37862094/", "37862094")</f>
        <v>37862094</v>
      </c>
      <c r="R215" s="54"/>
      <c r="S215" s="7">
        <v>1</v>
      </c>
      <c r="T215" s="77" t="s">
        <v>276</v>
      </c>
      <c r="U215" s="30">
        <v>1624163</v>
      </c>
      <c r="V215" s="30" t="str">
        <f>HYPERLINK("https://pubmed.ncbi.nlm.nih.gov/37862094/", "37862094")</f>
        <v>37862094</v>
      </c>
      <c r="W215" s="7">
        <v>0</v>
      </c>
      <c r="X215" s="7">
        <v>0</v>
      </c>
      <c r="Y215" s="7">
        <v>0</v>
      </c>
      <c r="Z215" s="7">
        <v>1</v>
      </c>
      <c r="AA215" s="7">
        <v>0</v>
      </c>
      <c r="AB215" s="7">
        <v>0</v>
      </c>
      <c r="AC215" s="7">
        <v>0</v>
      </c>
      <c r="AD215" s="7">
        <v>0</v>
      </c>
      <c r="AE215" s="30" t="s">
        <v>569</v>
      </c>
      <c r="AF215" s="30" t="str">
        <f>HYPERLINK("https://pubmed.ncbi.nlm.nih.gov/37862094/", "37862094")</f>
        <v>37862094</v>
      </c>
      <c r="AG215" s="61">
        <v>0</v>
      </c>
      <c r="AH215" s="61">
        <v>0</v>
      </c>
      <c r="AI215" s="61">
        <v>1</v>
      </c>
      <c r="AJ215" s="61">
        <v>0</v>
      </c>
      <c r="AK215" s="61">
        <v>0</v>
      </c>
      <c r="AL215" s="64">
        <v>17126919</v>
      </c>
      <c r="AM215" s="64"/>
    </row>
    <row r="216" spans="1:39" ht="18" customHeight="1">
      <c r="A216" s="86" t="s">
        <v>570</v>
      </c>
      <c r="B216" s="87" t="s">
        <v>571</v>
      </c>
      <c r="C216" s="82" t="s">
        <v>567</v>
      </c>
      <c r="D216" s="82" t="s">
        <v>568</v>
      </c>
      <c r="E216" s="65" t="str">
        <f>HYPERLINK("https://ictv.global/taxonomy/taxondetails?taxnode_id=202304929","202304929")</f>
        <v>202304929</v>
      </c>
      <c r="F216" s="83">
        <v>0</v>
      </c>
      <c r="G216" s="3" t="s">
        <v>423</v>
      </c>
      <c r="H216" s="68" t="s">
        <v>965</v>
      </c>
      <c r="I216" s="84">
        <v>1980</v>
      </c>
      <c r="J216" s="85" t="s">
        <v>258</v>
      </c>
      <c r="K216" s="85" t="s">
        <v>753</v>
      </c>
      <c r="L216" s="76">
        <v>50.075538000000002</v>
      </c>
      <c r="M216" s="76">
        <v>14.437799999999999</v>
      </c>
      <c r="N216" s="66" t="str">
        <f>HYPERLINK("https://www.ncbi.nlm.nih.gov/pubmed/6106383", "6106383")</f>
        <v>6106383</v>
      </c>
      <c r="O216" s="58">
        <v>2</v>
      </c>
      <c r="P216" s="54">
        <v>22526290</v>
      </c>
      <c r="Q216" s="54"/>
      <c r="R216" s="54"/>
      <c r="S216" s="7">
        <v>1</v>
      </c>
      <c r="T216" s="77" t="s">
        <v>276</v>
      </c>
      <c r="U216" s="30" t="str">
        <f>HYPERLINK("https://pubmed.ncbi.nlm.nih.gov/22526290/", "22526290")</f>
        <v>22526290</v>
      </c>
      <c r="V216" s="53"/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30">
        <v>6508529</v>
      </c>
      <c r="AF216" s="30">
        <v>22526290</v>
      </c>
      <c r="AG216" s="61">
        <v>0</v>
      </c>
      <c r="AH216" s="61">
        <v>0</v>
      </c>
      <c r="AI216" s="61">
        <v>1</v>
      </c>
      <c r="AJ216" s="61">
        <v>0</v>
      </c>
      <c r="AK216" s="61">
        <v>0</v>
      </c>
      <c r="AL216" s="64">
        <v>16318717</v>
      </c>
      <c r="AM216" s="64"/>
    </row>
    <row r="217" spans="1:39" ht="18" customHeight="1">
      <c r="A217" s="80" t="s">
        <v>735</v>
      </c>
      <c r="B217" s="81" t="s">
        <v>572</v>
      </c>
      <c r="C217" s="82" t="s">
        <v>573</v>
      </c>
      <c r="D217" s="82" t="s">
        <v>568</v>
      </c>
      <c r="E217" s="65" t="str">
        <f>HYPERLINK("https://ictv.global/taxonomy/taxondetails?taxnode_id=202304972","202304972")</f>
        <v>202304972</v>
      </c>
      <c r="F217" s="83">
        <v>0</v>
      </c>
      <c r="G217" s="3" t="s">
        <v>423</v>
      </c>
      <c r="H217" s="68" t="s">
        <v>966</v>
      </c>
      <c r="I217" s="84">
        <v>1954</v>
      </c>
      <c r="J217" s="85" t="s">
        <v>29</v>
      </c>
      <c r="K217" s="85" t="s">
        <v>755</v>
      </c>
      <c r="L217" s="74">
        <v>39.103118000000002</v>
      </c>
      <c r="M217" s="74">
        <v>-84.512020000000007</v>
      </c>
      <c r="N217" s="66" t="str">
        <f>HYPERLINK("https://www.ncbi.nlm.nih.gov/pubmed/13237336", "13237336")</f>
        <v>13237336</v>
      </c>
      <c r="O217" s="58">
        <v>3</v>
      </c>
      <c r="P217" s="54">
        <v>29325543</v>
      </c>
      <c r="Q217" s="54" t="str">
        <f>HYPERLINK("https://pubmed.ncbi.nlm.nih.gov/19030226/", "19030226")</f>
        <v>19030226</v>
      </c>
      <c r="R217" s="54" t="str">
        <f>HYPERLINK("https://pubmed.ncbi.nlm.nih.gov/22022394/", "22022394")</f>
        <v>22022394</v>
      </c>
      <c r="S217" s="7">
        <v>0</v>
      </c>
      <c r="T217" s="77"/>
      <c r="U217" s="53"/>
      <c r="V217" s="53"/>
      <c r="W217" s="7" t="s">
        <v>17</v>
      </c>
      <c r="X217" s="7">
        <v>0</v>
      </c>
      <c r="Y217" s="7">
        <v>0</v>
      </c>
      <c r="Z217" s="7">
        <v>0</v>
      </c>
      <c r="AA217" s="7">
        <v>0</v>
      </c>
      <c r="AB217" s="60">
        <v>0</v>
      </c>
      <c r="AC217" s="60">
        <v>0</v>
      </c>
      <c r="AD217" s="7">
        <v>0</v>
      </c>
      <c r="AE217" s="30">
        <v>22905211</v>
      </c>
      <c r="AF217" s="30" t="str">
        <f>HYPERLINK("https://pubmed.ncbi.nlm.nih.gov/34018466/", "34018466")</f>
        <v>34018466</v>
      </c>
      <c r="AG217" s="61">
        <v>0</v>
      </c>
      <c r="AH217" s="61">
        <v>1</v>
      </c>
      <c r="AI217" s="61">
        <v>1</v>
      </c>
      <c r="AJ217" s="61">
        <v>0</v>
      </c>
      <c r="AK217" s="61">
        <v>0</v>
      </c>
      <c r="AL217" s="64">
        <v>22931153</v>
      </c>
      <c r="AM217" s="64" t="str">
        <f>HYPERLINK("https://pubmed.ncbi.nlm.nih.gov/32706330/", "32706330")</f>
        <v>32706330</v>
      </c>
    </row>
    <row r="218" spans="1:39" ht="18" customHeight="1">
      <c r="A218" s="86" t="s">
        <v>574</v>
      </c>
      <c r="B218" s="87" t="s">
        <v>575</v>
      </c>
      <c r="C218" s="82" t="s">
        <v>573</v>
      </c>
      <c r="D218" s="82" t="s">
        <v>568</v>
      </c>
      <c r="E218" s="65" t="str">
        <f>HYPERLINK("https://ictv.global/taxonomy/taxondetails?taxnode_id=202304973","202304973")</f>
        <v>202304973</v>
      </c>
      <c r="F218" s="83">
        <v>0</v>
      </c>
      <c r="G218" s="3" t="s">
        <v>423</v>
      </c>
      <c r="H218" s="68" t="s">
        <v>967</v>
      </c>
      <c r="I218" s="84">
        <v>2007</v>
      </c>
      <c r="J218" s="85" t="s">
        <v>181</v>
      </c>
      <c r="K218" s="85" t="s">
        <v>754</v>
      </c>
      <c r="L218" s="76">
        <v>2.1944180000000002</v>
      </c>
      <c r="M218" s="76">
        <v>102.24906300000001</v>
      </c>
      <c r="N218" s="66" t="str">
        <f>HYPERLINK("https://www.ncbi.nlm.nih.gov/pubmed/17592121", "17592121")</f>
        <v>17592121</v>
      </c>
      <c r="O218" s="28">
        <v>3</v>
      </c>
      <c r="P218" s="54">
        <v>17592121</v>
      </c>
      <c r="Q218" s="54"/>
      <c r="R218" s="54"/>
      <c r="S218" s="7">
        <v>0</v>
      </c>
      <c r="T218" s="77"/>
      <c r="U218" s="53"/>
      <c r="V218" s="53"/>
      <c r="W218" s="7">
        <v>1</v>
      </c>
      <c r="X218" s="7">
        <v>0</v>
      </c>
      <c r="Y218" s="7">
        <v>0</v>
      </c>
      <c r="Z218" s="7">
        <v>0</v>
      </c>
      <c r="AA218" s="7">
        <v>0</v>
      </c>
      <c r="AB218" s="60">
        <v>0</v>
      </c>
      <c r="AC218" s="60">
        <v>0</v>
      </c>
      <c r="AD218" s="7">
        <v>0</v>
      </c>
      <c r="AE218" s="30" t="str">
        <f>HYPERLINK("https://pubmed.ncbi.nlm.nih.gov/17592121/", "17592121")</f>
        <v>17592121</v>
      </c>
      <c r="AF218" s="30" t="str">
        <f>HYPERLINK("https://pubmed.ncbi.nlm.nih.gov/35987079/", "35987079")</f>
        <v>35987079</v>
      </c>
      <c r="AG218" s="61">
        <v>0</v>
      </c>
      <c r="AH218" s="61">
        <v>1</v>
      </c>
      <c r="AI218" s="61">
        <v>1</v>
      </c>
      <c r="AJ218" s="61">
        <v>0</v>
      </c>
      <c r="AK218" s="61">
        <v>0</v>
      </c>
      <c r="AL218" s="64">
        <v>22931153</v>
      </c>
      <c r="AM218" s="64" t="str">
        <f>HYPERLINK("https://pubmed.ncbi.nlm.nih.gov/31132935/", "31132935")</f>
        <v>31132935</v>
      </c>
    </row>
    <row r="219" spans="1:39" ht="18" customHeight="1">
      <c r="A219" s="86" t="s">
        <v>576</v>
      </c>
      <c r="B219" s="87" t="s">
        <v>577</v>
      </c>
      <c r="C219" s="82" t="s">
        <v>578</v>
      </c>
      <c r="D219" s="82" t="s">
        <v>579</v>
      </c>
      <c r="E219" s="65" t="str">
        <f>HYPERLINK("https://ictv.global/taxonomy/taxondetails?taxnode_id=202305084","202305084")</f>
        <v>202305084</v>
      </c>
      <c r="F219" s="83">
        <v>1</v>
      </c>
      <c r="G219" s="3" t="s">
        <v>776</v>
      </c>
      <c r="H219" s="68" t="s">
        <v>580</v>
      </c>
      <c r="I219" s="84">
        <v>1986</v>
      </c>
      <c r="J219" s="72" t="s">
        <v>161</v>
      </c>
      <c r="K219" s="85" t="s">
        <v>752</v>
      </c>
      <c r="L219" s="76">
        <v>-36.680610000000001</v>
      </c>
      <c r="M219" s="76">
        <v>149.65644900000001</v>
      </c>
      <c r="N219" s="66" t="str">
        <f>HYPERLINK("https://www.ncbi.nlm.nih.gov/pubmed/3767767", "3767767")</f>
        <v>3767767</v>
      </c>
      <c r="O219" s="28">
        <v>3</v>
      </c>
      <c r="P219" s="54">
        <v>18279007</v>
      </c>
      <c r="Q219" s="54"/>
      <c r="R219" s="54"/>
      <c r="S219" s="7">
        <v>1</v>
      </c>
      <c r="T219" s="77" t="s">
        <v>142</v>
      </c>
      <c r="U219" s="30" t="str">
        <f>HYPERLINK("https://pubmed.ncbi.nlm.nih.gov/36194577/", "36194577")</f>
        <v>36194577</v>
      </c>
      <c r="V219" s="30">
        <v>14761645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30">
        <v>21752915</v>
      </c>
      <c r="AF219" s="30"/>
      <c r="AG219" s="61">
        <v>0</v>
      </c>
      <c r="AH219" s="61">
        <v>0</v>
      </c>
      <c r="AI219" s="61">
        <v>1</v>
      </c>
      <c r="AJ219" s="61">
        <v>1</v>
      </c>
      <c r="AK219" s="61">
        <v>0</v>
      </c>
      <c r="AL219" s="64">
        <v>21752915</v>
      </c>
      <c r="AM219" s="64" t="str">
        <f>HYPERLINK("https://pubmed.ncbi.nlm.nih.gov/36194577/", "36194577")</f>
        <v>36194577</v>
      </c>
    </row>
    <row r="220" spans="1:39" ht="18" customHeight="1">
      <c r="A220" s="86" t="s">
        <v>736</v>
      </c>
      <c r="B220" s="87" t="s">
        <v>581</v>
      </c>
      <c r="C220" s="82" t="s">
        <v>578</v>
      </c>
      <c r="D220" s="82" t="s">
        <v>579</v>
      </c>
      <c r="E220" s="65" t="str">
        <f>HYPERLINK("https://ictv.global/taxonomy/taxondetails?taxnode_id=202305087","202305087")</f>
        <v>202305087</v>
      </c>
      <c r="F220" s="83">
        <v>1</v>
      </c>
      <c r="G220" s="3" t="s">
        <v>776</v>
      </c>
      <c r="H220" s="68" t="s">
        <v>968</v>
      </c>
      <c r="I220" s="84">
        <v>1956</v>
      </c>
      <c r="J220" s="72" t="s">
        <v>582</v>
      </c>
      <c r="K220" s="85" t="s">
        <v>757</v>
      </c>
      <c r="L220" s="76">
        <v>-10.641664</v>
      </c>
      <c r="M220" s="76">
        <v>39.237551000000003</v>
      </c>
      <c r="N220" s="66" t="str">
        <f>HYPERLINK("https://www.ncbi.nlm.nih.gov/pubmed/13346078", "13346078")</f>
        <v>13346078</v>
      </c>
      <c r="O220" s="58" t="s">
        <v>81</v>
      </c>
      <c r="P220" s="54">
        <v>17314335</v>
      </c>
      <c r="Q220" s="54"/>
      <c r="R220" s="54"/>
      <c r="S220" s="7">
        <v>1</v>
      </c>
      <c r="T220" s="77" t="s">
        <v>142</v>
      </c>
      <c r="U220" s="30">
        <v>17448935</v>
      </c>
      <c r="V220" s="53"/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1</v>
      </c>
      <c r="AD220" s="7">
        <v>0</v>
      </c>
      <c r="AE220" s="30">
        <v>20519386</v>
      </c>
      <c r="AF220" s="30" t="str">
        <f>HYPERLINK("https://pubmed.ncbi.nlm.nih.gov/31806601/", "31806601")</f>
        <v>31806601</v>
      </c>
      <c r="AG220" s="61">
        <v>0</v>
      </c>
      <c r="AH220" s="61">
        <v>1</v>
      </c>
      <c r="AI220" s="61">
        <v>1</v>
      </c>
      <c r="AJ220" s="61">
        <v>0</v>
      </c>
      <c r="AK220" s="61">
        <v>0</v>
      </c>
      <c r="AL220" s="64">
        <v>21118930</v>
      </c>
      <c r="AM220" s="64">
        <v>20889861</v>
      </c>
    </row>
    <row r="221" spans="1:39" ht="18" customHeight="1">
      <c r="A221" s="86" t="s">
        <v>737</v>
      </c>
      <c r="B221" s="87" t="s">
        <v>583</v>
      </c>
      <c r="C221" s="82" t="s">
        <v>578</v>
      </c>
      <c r="D221" s="82" t="s">
        <v>579</v>
      </c>
      <c r="E221" s="65" t="str">
        <f>HYPERLINK("https://ictv.global/taxonomy/taxondetails?taxnode_id=202305088","202305088")</f>
        <v>202305088</v>
      </c>
      <c r="F221" s="83">
        <v>1</v>
      </c>
      <c r="G221" s="3" t="s">
        <v>776</v>
      </c>
      <c r="H221" s="68" t="s">
        <v>969</v>
      </c>
      <c r="I221" s="84">
        <v>1938</v>
      </c>
      <c r="J221" s="85" t="s">
        <v>29</v>
      </c>
      <c r="K221" s="85" t="s">
        <v>755</v>
      </c>
      <c r="L221" s="76">
        <v>42.192999999999998</v>
      </c>
      <c r="M221" s="76">
        <v>-73.092020000000005</v>
      </c>
      <c r="N221" s="66" t="str">
        <f>HYPERLINK("https://www.ncbi.nlm.nih.gov/pubmed/17843373", "17843373")</f>
        <v>17843373</v>
      </c>
      <c r="O221" s="28">
        <v>3</v>
      </c>
      <c r="P221" s="54">
        <v>22522323</v>
      </c>
      <c r="Q221" s="79" t="str">
        <f>HYPERLINK("https://pubmed.ncbi.nlm.nih.gov/30371754/", "30371754")</f>
        <v>30371754</v>
      </c>
      <c r="R221" s="79"/>
      <c r="S221" s="7">
        <v>1</v>
      </c>
      <c r="T221" s="77" t="s">
        <v>142</v>
      </c>
      <c r="U221" s="30">
        <v>875915</v>
      </c>
      <c r="V221" s="30" t="str">
        <f>HYPERLINK("https://pubmed.ncbi.nlm.nih.gov/19706914/", "19706914")</f>
        <v>19706914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30" t="s">
        <v>584</v>
      </c>
      <c r="AF221" s="30" t="str">
        <f>HYPERLINK("https://pubmed.ncbi.nlm.nih.gov/32755661/", "32755661")</f>
        <v>32755661</v>
      </c>
      <c r="AG221" s="61">
        <v>0</v>
      </c>
      <c r="AH221" s="61">
        <v>0</v>
      </c>
      <c r="AI221" s="61">
        <v>1</v>
      </c>
      <c r="AJ221" s="61">
        <v>1</v>
      </c>
      <c r="AK221" s="61">
        <v>1</v>
      </c>
      <c r="AL221" s="64">
        <v>10466964</v>
      </c>
      <c r="AM221" s="64"/>
    </row>
    <row r="222" spans="1:39" ht="18" customHeight="1">
      <c r="A222" s="86" t="s">
        <v>585</v>
      </c>
      <c r="B222" s="87" t="s">
        <v>586</v>
      </c>
      <c r="C222" s="82" t="s">
        <v>578</v>
      </c>
      <c r="D222" s="82" t="s">
        <v>579</v>
      </c>
      <c r="E222" s="65" t="str">
        <f>HYPERLINK("https://ictv.global/taxonomy/taxondetails?taxnode_id=202305090","202305090")</f>
        <v>202305090</v>
      </c>
      <c r="F222" s="83">
        <v>1</v>
      </c>
      <c r="G222" s="3" t="s">
        <v>776</v>
      </c>
      <c r="H222" s="68" t="s">
        <v>588</v>
      </c>
      <c r="I222" s="84">
        <v>1970</v>
      </c>
      <c r="J222" s="85" t="s">
        <v>29</v>
      </c>
      <c r="K222" s="85" t="s">
        <v>755</v>
      </c>
      <c r="L222" s="76">
        <v>25.468722</v>
      </c>
      <c r="M222" s="76">
        <v>-80.477557000000004</v>
      </c>
      <c r="N222" s="66" t="str">
        <f>HYPERLINK("https://www.ncbi.nlm.nih.gov/pubmed/5410814", "5410814")</f>
        <v>5410814</v>
      </c>
      <c r="O222" s="28">
        <v>2</v>
      </c>
      <c r="P222" s="54" t="str">
        <f>HYPERLINK("https://www.ncbi.nlm.nih.gov/pubmed/7444536", "7444536")</f>
        <v>7444536</v>
      </c>
      <c r="Q222" s="54"/>
      <c r="R222" s="54"/>
      <c r="S222" s="7">
        <v>1</v>
      </c>
      <c r="T222" s="77" t="s">
        <v>154</v>
      </c>
      <c r="U222" s="30">
        <v>3291350</v>
      </c>
      <c r="V222" s="30">
        <v>3706626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30" t="s">
        <v>587</v>
      </c>
      <c r="AF222" s="30"/>
      <c r="AG222" s="61">
        <v>0</v>
      </c>
      <c r="AH222" s="61">
        <v>0</v>
      </c>
      <c r="AI222" s="61">
        <v>1</v>
      </c>
      <c r="AJ222" s="61">
        <v>0</v>
      </c>
      <c r="AK222" s="61">
        <v>0</v>
      </c>
      <c r="AL222" s="64">
        <v>17326938</v>
      </c>
      <c r="AM222" s="64"/>
    </row>
    <row r="223" spans="1:39" ht="18" customHeight="1">
      <c r="A223" s="86" t="s">
        <v>589</v>
      </c>
      <c r="B223" s="87" t="s">
        <v>590</v>
      </c>
      <c r="C223" s="82" t="s">
        <v>578</v>
      </c>
      <c r="D223" s="82" t="s">
        <v>579</v>
      </c>
      <c r="E223" s="65" t="str">
        <f>HYPERLINK("https://ictv.global/taxonomy/taxondetails?taxnode_id=202305092","202305092")</f>
        <v>202305092</v>
      </c>
      <c r="F223" s="83">
        <v>1</v>
      </c>
      <c r="G223" s="3" t="s">
        <v>776</v>
      </c>
      <c r="H223" s="68" t="s">
        <v>592</v>
      </c>
      <c r="I223" s="84">
        <v>1966</v>
      </c>
      <c r="J223" s="85" t="s">
        <v>66</v>
      </c>
      <c r="K223" s="85" t="s">
        <v>752</v>
      </c>
      <c r="L223" s="76">
        <v>-27.469771000000001</v>
      </c>
      <c r="M223" s="76">
        <v>153.02512400000001</v>
      </c>
      <c r="N223" s="66" t="str">
        <f>HYPERLINK("https://www.ncbi.nlm.nih.gov/pubmed/6007741", "6007741")</f>
        <v>6007741</v>
      </c>
      <c r="O223" s="28">
        <v>2</v>
      </c>
      <c r="P223" s="54" t="str">
        <f>HYPERLINK("https://www.ncbi.nlm.nih.gov/pubmed/238314", "238314")</f>
        <v>238314</v>
      </c>
      <c r="Q223" s="54"/>
      <c r="R223" s="54"/>
      <c r="S223" s="7">
        <v>1</v>
      </c>
      <c r="T223" s="77" t="s">
        <v>154</v>
      </c>
      <c r="U223" s="30">
        <v>4082267</v>
      </c>
      <c r="V223" s="30" t="str">
        <f>HYPERLINK("https://pubmed.ncbi.nlm.nih.gov/36015065/", "36015065")</f>
        <v>36015065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30" t="s">
        <v>591</v>
      </c>
      <c r="AF223" s="30" t="str">
        <f>HYPERLINK("https://pubmed.ncbi.nlm.nih.gov/36475767/", "36475767")</f>
        <v>36475767</v>
      </c>
      <c r="AG223" s="61">
        <v>0</v>
      </c>
      <c r="AH223" s="61">
        <v>0</v>
      </c>
      <c r="AI223" s="61">
        <v>1</v>
      </c>
      <c r="AJ223" s="61">
        <v>0</v>
      </c>
      <c r="AK223" s="61">
        <v>0</v>
      </c>
      <c r="AL223" s="64">
        <v>25898181</v>
      </c>
      <c r="AM223" s="64"/>
    </row>
    <row r="224" spans="1:39" ht="18" customHeight="1">
      <c r="A224" s="86" t="s">
        <v>593</v>
      </c>
      <c r="B224" s="87" t="s">
        <v>594</v>
      </c>
      <c r="C224" s="82" t="s">
        <v>578</v>
      </c>
      <c r="D224" s="82" t="s">
        <v>579</v>
      </c>
      <c r="E224" s="65" t="str">
        <f>HYPERLINK("https://ictv.global/taxonomy/taxondetails?taxnode_id=202305093","202305093")</f>
        <v>202305093</v>
      </c>
      <c r="F224" s="83">
        <v>1</v>
      </c>
      <c r="G224" s="3" t="s">
        <v>776</v>
      </c>
      <c r="H224" s="68" t="s">
        <v>970</v>
      </c>
      <c r="I224" s="84">
        <v>2000</v>
      </c>
      <c r="J224" s="85" t="s">
        <v>29</v>
      </c>
      <c r="K224" s="85" t="s">
        <v>755</v>
      </c>
      <c r="L224" s="76">
        <v>27.664826999999999</v>
      </c>
      <c r="M224" s="76">
        <v>-81.515754000000001</v>
      </c>
      <c r="N224" s="66" t="str">
        <f>HYPERLINK("https://www.ncbi.nlm.nih.gov/pubmed/11057975", "11057975")</f>
        <v>11057975</v>
      </c>
      <c r="O224" s="28">
        <v>2</v>
      </c>
      <c r="P224" s="54" t="str">
        <f>HYPERLINK("https://www.ncbi.nlm.nih.gov/pubmed/8827668", "8827668 ")</f>
        <v xml:space="preserve">8827668 </v>
      </c>
      <c r="Q224" s="54"/>
      <c r="R224" s="54"/>
      <c r="S224" s="7">
        <v>1</v>
      </c>
      <c r="T224" s="77" t="s">
        <v>154</v>
      </c>
      <c r="U224" s="30">
        <v>8610461</v>
      </c>
      <c r="V224" s="30" t="str">
        <f>HYPERLINK("https://pubmed.ncbi.nlm.nih.gov/27248005/", "27248005")</f>
        <v>27248005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30">
        <v>19651164</v>
      </c>
      <c r="AF224" s="30"/>
      <c r="AG224" s="61">
        <v>0</v>
      </c>
      <c r="AH224" s="61">
        <v>0</v>
      </c>
      <c r="AI224" s="61">
        <v>1</v>
      </c>
      <c r="AJ224" s="61">
        <v>1</v>
      </c>
      <c r="AK224" s="61">
        <v>0</v>
      </c>
      <c r="AL224" s="64">
        <v>2849884</v>
      </c>
      <c r="AM224" s="64">
        <v>8827668</v>
      </c>
    </row>
    <row r="225" spans="1:70" ht="18" customHeight="1">
      <c r="A225" s="83" t="s">
        <v>595</v>
      </c>
      <c r="B225" s="82" t="s">
        <v>596</v>
      </c>
      <c r="C225" s="82" t="s">
        <v>578</v>
      </c>
      <c r="D225" s="82" t="s">
        <v>579</v>
      </c>
      <c r="E225" s="65" t="str">
        <f>HYPERLINK("https://ictv.global/taxonomy/taxondetails?taxnode_id=202305094", "202305094")</f>
        <v>202305094</v>
      </c>
      <c r="F225" s="83">
        <v>1</v>
      </c>
      <c r="G225" s="3" t="s">
        <v>776</v>
      </c>
      <c r="H225" s="68" t="s">
        <v>598</v>
      </c>
      <c r="I225" s="84">
        <v>1972</v>
      </c>
      <c r="J225" s="85" t="s">
        <v>386</v>
      </c>
      <c r="K225" s="85" t="s">
        <v>756</v>
      </c>
      <c r="L225" s="76">
        <v>10.666667</v>
      </c>
      <c r="M225" s="76">
        <v>-61.516666999999998</v>
      </c>
      <c r="N225" s="66" t="str">
        <f>HYPERLINK("https://www.ncbi.nlm.nih.gov/pubmed/?term=5037688", "5037688")</f>
        <v>5037688</v>
      </c>
      <c r="O225" s="28">
        <v>2</v>
      </c>
      <c r="P225" s="54" t="str">
        <f>HYPERLINK("https://www.ncbi.nlm.nih.gov/pubmed/25870420", "25870420")</f>
        <v>25870420</v>
      </c>
      <c r="Q225" s="54"/>
      <c r="R225" s="54"/>
      <c r="S225" s="7">
        <v>1</v>
      </c>
      <c r="T225" s="77" t="s">
        <v>154</v>
      </c>
      <c r="U225" s="30">
        <v>27101567</v>
      </c>
      <c r="V225" s="30" t="str">
        <f>HYPERLINK("https://pubmed.ncbi.nlm.nih.gov/34451447/", "34451447")</f>
        <v>34451447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30" t="s">
        <v>597</v>
      </c>
      <c r="AF225" s="30"/>
      <c r="AG225" s="61">
        <v>0</v>
      </c>
      <c r="AH225" s="61">
        <v>0</v>
      </c>
      <c r="AI225" s="61">
        <v>1</v>
      </c>
      <c r="AJ225" s="61">
        <v>0</v>
      </c>
      <c r="AK225" s="61">
        <v>0</v>
      </c>
      <c r="AL225" s="64" t="s">
        <v>597</v>
      </c>
      <c r="AM225" s="64"/>
    </row>
    <row r="226" spans="1:70" ht="18" customHeight="1">
      <c r="A226" s="86" t="s">
        <v>599</v>
      </c>
      <c r="B226" s="87" t="s">
        <v>600</v>
      </c>
      <c r="C226" s="82" t="s">
        <v>578</v>
      </c>
      <c r="D226" s="82" t="s">
        <v>579</v>
      </c>
      <c r="E226" s="65" t="str">
        <f>HYPERLINK("https://ictv.global/taxonomy/taxondetails?taxnode_id=202305095","202305095")</f>
        <v>202305095</v>
      </c>
      <c r="F226" s="83">
        <v>1</v>
      </c>
      <c r="G226" s="3" t="s">
        <v>776</v>
      </c>
      <c r="H226" s="68" t="s">
        <v>971</v>
      </c>
      <c r="I226" s="84">
        <v>1957</v>
      </c>
      <c r="J226" s="85" t="s">
        <v>386</v>
      </c>
      <c r="K226" s="85" t="s">
        <v>756</v>
      </c>
      <c r="L226" s="76">
        <v>10.280343999999999</v>
      </c>
      <c r="M226" s="76">
        <v>-61.029670000000003</v>
      </c>
      <c r="N226" s="66" t="str">
        <f>HYPERLINK("https://www.ncbi.nlm.nih.gov/pubmed/13487973", "13487973")</f>
        <v>13487973</v>
      </c>
      <c r="O226" s="28">
        <v>2</v>
      </c>
      <c r="P226" s="54">
        <v>16968922</v>
      </c>
      <c r="Q226" s="54"/>
      <c r="R226" s="54"/>
      <c r="S226" s="7">
        <v>1</v>
      </c>
      <c r="T226" s="77" t="s">
        <v>154</v>
      </c>
      <c r="U226" s="30">
        <v>10028074</v>
      </c>
      <c r="V226" s="30" t="str">
        <f>HYPERLINK("https://pubmed.ncbi.nlm.nih.gov/38704595/", "38704595")</f>
        <v>38704595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30">
        <v>9037738</v>
      </c>
      <c r="AF226" s="30"/>
      <c r="AG226" s="61">
        <v>0</v>
      </c>
      <c r="AH226" s="61">
        <v>1</v>
      </c>
      <c r="AI226" s="61">
        <v>1</v>
      </c>
      <c r="AJ226" s="61">
        <v>1</v>
      </c>
      <c r="AK226" s="61">
        <v>0</v>
      </c>
      <c r="AL226" s="64">
        <v>14609474</v>
      </c>
      <c r="AM226" s="64"/>
    </row>
    <row r="227" spans="1:70" ht="18" customHeight="1">
      <c r="A227" s="86" t="s">
        <v>601</v>
      </c>
      <c r="B227" s="87" t="s">
        <v>602</v>
      </c>
      <c r="C227" s="82" t="s">
        <v>578</v>
      </c>
      <c r="D227" s="82" t="s">
        <v>579</v>
      </c>
      <c r="E227" s="65" t="str">
        <f>HYPERLINK("https://ictv.global/taxonomy/taxondetails?taxnode_id=202305097","202305097")</f>
        <v>202305097</v>
      </c>
      <c r="F227" s="83">
        <v>1</v>
      </c>
      <c r="G227" s="3" t="s">
        <v>776</v>
      </c>
      <c r="H227" s="68" t="s">
        <v>604</v>
      </c>
      <c r="I227" s="84">
        <v>2013</v>
      </c>
      <c r="J227" s="85" t="s">
        <v>37</v>
      </c>
      <c r="K227" s="85" t="s">
        <v>401</v>
      </c>
      <c r="L227" s="76">
        <v>-27.425718</v>
      </c>
      <c r="M227" s="76">
        <v>-59.024377999999999</v>
      </c>
      <c r="N227" s="66" t="str">
        <f>HYPERLINK("https://www.ncbi.nlm.nih.gov/pubmed/24349588", "24349588")</f>
        <v>24349588</v>
      </c>
      <c r="O227" s="28">
        <v>2</v>
      </c>
      <c r="P227" s="54" t="str">
        <f>HYPERLINK("https://www.ncbi.nlm.nih.gov/pubmed/24349588", "24349588")</f>
        <v>24349588</v>
      </c>
      <c r="Q227" s="54"/>
      <c r="R227" s="54"/>
      <c r="S227" s="7">
        <v>1</v>
      </c>
      <c r="T227" s="77" t="s">
        <v>154</v>
      </c>
      <c r="U227" s="30">
        <v>5557581</v>
      </c>
      <c r="V227" s="53"/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30" t="s">
        <v>603</v>
      </c>
      <c r="AF227" s="30"/>
      <c r="AG227" s="62">
        <v>0</v>
      </c>
      <c r="AH227" s="62">
        <v>0</v>
      </c>
      <c r="AI227" s="61">
        <v>1</v>
      </c>
      <c r="AJ227" s="61">
        <v>0</v>
      </c>
      <c r="AK227" s="61">
        <v>0</v>
      </c>
      <c r="AL227" s="64">
        <v>17947533</v>
      </c>
      <c r="AM227" s="64"/>
    </row>
    <row r="228" spans="1:70" ht="18" customHeight="1">
      <c r="A228" s="86" t="s">
        <v>605</v>
      </c>
      <c r="B228" s="87" t="s">
        <v>606</v>
      </c>
      <c r="C228" s="82" t="s">
        <v>578</v>
      </c>
      <c r="D228" s="82" t="s">
        <v>579</v>
      </c>
      <c r="E228" s="65" t="str">
        <f>HYPERLINK("https://ictv.global/taxonomy/taxondetails?taxnode_id=202305098","202305098")</f>
        <v>202305098</v>
      </c>
      <c r="F228" s="83">
        <v>1</v>
      </c>
      <c r="G228" s="3" t="s">
        <v>776</v>
      </c>
      <c r="H228" s="68" t="s">
        <v>607</v>
      </c>
      <c r="I228" s="84">
        <v>1965</v>
      </c>
      <c r="J228" s="85" t="s">
        <v>390</v>
      </c>
      <c r="K228" s="85" t="s">
        <v>755</v>
      </c>
      <c r="L228" s="76">
        <v>19.432607999999998</v>
      </c>
      <c r="M228" s="76">
        <v>-99.133207999999996</v>
      </c>
      <c r="N228" s="66" t="str">
        <f>HYPERLINK("https://www.ncbi.nlm.nih.gov/pubmed/14292756", "14292756")</f>
        <v>14292756</v>
      </c>
      <c r="O228" s="58">
        <v>2</v>
      </c>
      <c r="P228" s="54" t="str">
        <f>HYPERLINK("https://www.ncbi.nlm.nih.gov/pubmed/14292756", "14292756")</f>
        <v>14292756</v>
      </c>
      <c r="Q228" s="54"/>
      <c r="R228" s="54"/>
      <c r="S228" s="7">
        <v>1</v>
      </c>
      <c r="T228" s="77" t="s">
        <v>142</v>
      </c>
      <c r="U228" s="30">
        <v>2804100</v>
      </c>
      <c r="V228" s="30" t="str">
        <f>HYPERLINK("https://pubmed.ncbi.nlm.nih.gov/37376570/", "37376570")</f>
        <v>37376570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30" t="s">
        <v>603</v>
      </c>
      <c r="AF228" s="30" t="str">
        <f>HYPERLINK("https://pubmed.ncbi.nlm.nih.gov/37376570/", "37376570")</f>
        <v>37376570</v>
      </c>
      <c r="AG228" s="61">
        <v>0</v>
      </c>
      <c r="AH228" s="61">
        <v>1</v>
      </c>
      <c r="AI228" s="61">
        <v>1</v>
      </c>
      <c r="AJ228" s="61">
        <v>0</v>
      </c>
      <c r="AK228" s="61">
        <v>0</v>
      </c>
      <c r="AL228" s="64">
        <v>17947533</v>
      </c>
      <c r="AM228" s="64" t="str">
        <f>HYPERLINK("https://pubmed.ncbi.nlm.nih.gov/31443500/", "31443500")</f>
        <v>31443500</v>
      </c>
    </row>
    <row r="229" spans="1:70" ht="18" customHeight="1">
      <c r="A229" s="86" t="s">
        <v>608</v>
      </c>
      <c r="B229" s="87" t="s">
        <v>609</v>
      </c>
      <c r="C229" s="82" t="s">
        <v>578</v>
      </c>
      <c r="D229" s="82" t="s">
        <v>579</v>
      </c>
      <c r="E229" s="65" t="str">
        <f>HYPERLINK("https://ictv.global/taxonomy/taxondetails?taxnode_id=202305099","202305099")</f>
        <v>202305099</v>
      </c>
      <c r="F229" s="83">
        <v>1</v>
      </c>
      <c r="G229" s="3" t="s">
        <v>776</v>
      </c>
      <c r="H229" s="68" t="s">
        <v>611</v>
      </c>
      <c r="I229" s="84">
        <v>1961</v>
      </c>
      <c r="J229" s="72" t="s">
        <v>747</v>
      </c>
      <c r="K229" s="85" t="s">
        <v>757</v>
      </c>
      <c r="L229" s="76">
        <v>-26.93</v>
      </c>
      <c r="M229" s="76">
        <v>32.26</v>
      </c>
      <c r="N229" s="66" t="str">
        <f>HYPERLINK("https://www.ncbi.nlm.nih.gov/pubmed/13757662", "13757662")</f>
        <v>13757662</v>
      </c>
      <c r="O229" s="28">
        <v>2</v>
      </c>
      <c r="P229" s="54">
        <v>23006778</v>
      </c>
      <c r="Q229" s="79" t="str">
        <f>HYPERLINK("https://pubmed.ncbi.nlm.nih.gov/36851627/", "36851627")</f>
        <v>36851627</v>
      </c>
      <c r="R229" s="79"/>
      <c r="S229" s="7">
        <v>1</v>
      </c>
      <c r="T229" s="77" t="s">
        <v>154</v>
      </c>
      <c r="U229" s="30">
        <v>25276943</v>
      </c>
      <c r="V229" s="30" t="str">
        <f>HYPERLINK("https://pubmed.ncbi.nlm.nih.gov/23006778/", "23006778")</f>
        <v>23006778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30" t="s">
        <v>610</v>
      </c>
      <c r="AF229" s="30"/>
      <c r="AG229" s="62">
        <v>0</v>
      </c>
      <c r="AH229" s="62">
        <v>1</v>
      </c>
      <c r="AI229" s="61">
        <v>1</v>
      </c>
      <c r="AJ229" s="61">
        <v>0</v>
      </c>
      <c r="AK229" s="61">
        <v>0</v>
      </c>
      <c r="AL229" s="64">
        <v>23006778</v>
      </c>
      <c r="AM229" s="64" t="str">
        <f>HYPERLINK("https://pubmed.ncbi.nlm.nih.gov/31664886/", "31664886")</f>
        <v>31664886</v>
      </c>
    </row>
    <row r="230" spans="1:70" ht="18" customHeight="1">
      <c r="A230" s="86" t="s">
        <v>612</v>
      </c>
      <c r="B230" s="87" t="s">
        <v>613</v>
      </c>
      <c r="C230" s="82" t="s">
        <v>578</v>
      </c>
      <c r="D230" s="82" t="s">
        <v>579</v>
      </c>
      <c r="E230" s="65" t="str">
        <f>HYPERLINK("https://ictv.global/taxonomy/taxondetails?taxnode_id=202305102","202305102")</f>
        <v>202305102</v>
      </c>
      <c r="F230" s="83">
        <v>1</v>
      </c>
      <c r="G230" s="3" t="s">
        <v>776</v>
      </c>
      <c r="H230" s="68" t="s">
        <v>615</v>
      </c>
      <c r="I230" s="84">
        <v>1993</v>
      </c>
      <c r="J230" s="85" t="s">
        <v>37</v>
      </c>
      <c r="K230" s="85" t="s">
        <v>401</v>
      </c>
      <c r="L230" s="76">
        <v>-26.185777000000002</v>
      </c>
      <c r="M230" s="76">
        <v>-58.175567000000001</v>
      </c>
      <c r="N230" s="66" t="str">
        <f>HYPERLINK("https://www.ncbi.nlm.nih.gov/pubmed/8153352", "8153352")</f>
        <v>8153352</v>
      </c>
      <c r="O230" s="28">
        <v>2</v>
      </c>
      <c r="P230" s="54" t="str">
        <f>HYPERLINK("https://pubmed.ncbi.nlm.nih.gov/22310545/", "22310545")</f>
        <v>22310545</v>
      </c>
      <c r="Q230" s="54"/>
      <c r="R230" s="54"/>
      <c r="S230" s="7">
        <v>1</v>
      </c>
      <c r="T230" s="77" t="s">
        <v>154</v>
      </c>
      <c r="U230" s="30">
        <v>22310545</v>
      </c>
      <c r="V230" s="53"/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30" t="s">
        <v>614</v>
      </c>
      <c r="AF230" s="30"/>
      <c r="AG230" s="61">
        <v>0</v>
      </c>
      <c r="AH230" s="61">
        <v>0</v>
      </c>
      <c r="AI230" s="61">
        <v>1</v>
      </c>
      <c r="AJ230" s="61">
        <v>0</v>
      </c>
      <c r="AK230" s="61">
        <v>0</v>
      </c>
      <c r="AL230" s="64">
        <v>19402767</v>
      </c>
      <c r="AM230" s="64"/>
    </row>
    <row r="231" spans="1:70" ht="18" customHeight="1">
      <c r="A231" s="80" t="s">
        <v>738</v>
      </c>
      <c r="B231" s="81" t="s">
        <v>616</v>
      </c>
      <c r="C231" s="82" t="s">
        <v>578</v>
      </c>
      <c r="D231" s="82" t="s">
        <v>579</v>
      </c>
      <c r="E231" s="65" t="str">
        <f>HYPERLINK("https://ictv.global/taxonomy/taxondetails?taxnode_id=202305100","202305100")</f>
        <v>202305100</v>
      </c>
      <c r="F231" s="83">
        <v>1</v>
      </c>
      <c r="G231" s="3" t="s">
        <v>776</v>
      </c>
      <c r="H231" s="68" t="s">
        <v>618</v>
      </c>
      <c r="I231" s="84">
        <v>1961</v>
      </c>
      <c r="J231" s="85" t="s">
        <v>116</v>
      </c>
      <c r="K231" s="85" t="s">
        <v>757</v>
      </c>
      <c r="L231" s="76">
        <v>5.1184E-2</v>
      </c>
      <c r="M231" s="76">
        <v>32.463707999999997</v>
      </c>
      <c r="N231" s="66" t="str">
        <f>HYPERLINK("https://www.ncbi.nlm.nih.gov/pubmed/13785469", "13785469")</f>
        <v>13785469</v>
      </c>
      <c r="O231" s="28" t="s">
        <v>781</v>
      </c>
      <c r="P231" s="54">
        <v>28829253</v>
      </c>
      <c r="Q231" s="54" t="str">
        <f>HYPERLINK("https://pubmed.ncbi.nlm.nih.gov/38797948/", "38797948")</f>
        <v>38797948</v>
      </c>
      <c r="R231" s="54" t="str">
        <f>HYPERLINK("https://pubmed.ncbi.nlm.nih.gov/37515274/", "37515274")</f>
        <v>37515274</v>
      </c>
      <c r="S231" s="7">
        <v>1</v>
      </c>
      <c r="T231" s="77" t="s">
        <v>154</v>
      </c>
      <c r="U231" s="30">
        <v>16607002</v>
      </c>
      <c r="V231" s="30" t="str">
        <f>HYPERLINK("https://pubmed.ncbi.nlm.nih.gov/38797948/", "38797948")</f>
        <v>38797948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30" t="s">
        <v>617</v>
      </c>
      <c r="AF231" s="30"/>
      <c r="AG231" s="61">
        <v>0</v>
      </c>
      <c r="AH231" s="61" t="s">
        <v>17</v>
      </c>
      <c r="AI231" s="61">
        <v>0</v>
      </c>
      <c r="AJ231" s="61">
        <v>0</v>
      </c>
      <c r="AK231" s="61">
        <v>0</v>
      </c>
      <c r="AL231" s="64">
        <v>10466973</v>
      </c>
      <c r="AM231" s="64" t="str">
        <f>HYPERLINK("https://pubmed.ncbi.nlm.nih.gov/38797948/", "38797948")</f>
        <v>38797948</v>
      </c>
    </row>
    <row r="232" spans="1:70" ht="18" customHeight="1">
      <c r="A232" s="86" t="s">
        <v>619</v>
      </c>
      <c r="B232" s="87" t="s">
        <v>620</v>
      </c>
      <c r="C232" s="82" t="s">
        <v>578</v>
      </c>
      <c r="D232" s="82" t="s">
        <v>579</v>
      </c>
      <c r="E232" s="65" t="str">
        <f>HYPERLINK("https://ictv.global/taxonomy/taxondetails?taxnode_id=202305101","202305101")</f>
        <v>202305101</v>
      </c>
      <c r="F232" s="83">
        <v>1</v>
      </c>
      <c r="G232" s="3" t="s">
        <v>776</v>
      </c>
      <c r="H232" s="68" t="s">
        <v>621</v>
      </c>
      <c r="I232" s="84">
        <v>1991</v>
      </c>
      <c r="J232" s="85" t="s">
        <v>19</v>
      </c>
      <c r="K232" s="85" t="s">
        <v>401</v>
      </c>
      <c r="L232" s="76">
        <v>-1.387713</v>
      </c>
      <c r="M232" s="76">
        <v>-48.415641000000001</v>
      </c>
      <c r="N232" s="66" t="str">
        <f>HYPERLINK("https://www.ncbi.nlm.nih.gov/pubmed/1844977", "1844977")</f>
        <v>1844977</v>
      </c>
      <c r="O232" s="58">
        <v>2</v>
      </c>
      <c r="P232" s="54" t="str">
        <f>HYPERLINK("https://www.ncbi.nlm.nih.gov/pubmed/1844977", "1844977")</f>
        <v>1844977</v>
      </c>
      <c r="Q232" s="54"/>
      <c r="R232" s="54"/>
      <c r="S232" s="7">
        <v>1</v>
      </c>
      <c r="T232" s="77" t="s">
        <v>142</v>
      </c>
      <c r="U232" s="30" t="str">
        <f>HYPERLINK("https://pubmed.ncbi.nlm.nih.gov/36008558/", "36008558")</f>
        <v>36008558</v>
      </c>
      <c r="V232" s="30" t="str">
        <f>HYPERLINK("https://pubmed.ncbi.nlm.nih.gov/20497404/", "20497404")</f>
        <v>20497404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30">
        <v>19402767</v>
      </c>
      <c r="AF232" s="30"/>
      <c r="AG232" s="61">
        <v>0</v>
      </c>
      <c r="AH232" s="61">
        <v>0</v>
      </c>
      <c r="AI232" s="61">
        <v>1</v>
      </c>
      <c r="AJ232" s="61">
        <v>0</v>
      </c>
      <c r="AK232" s="61">
        <v>0</v>
      </c>
      <c r="AL232" s="64">
        <v>19402767</v>
      </c>
      <c r="AM232" s="64"/>
    </row>
    <row r="233" spans="1:70" ht="18" customHeight="1">
      <c r="A233" s="80" t="s">
        <v>622</v>
      </c>
      <c r="B233" s="81" t="s">
        <v>623</v>
      </c>
      <c r="C233" s="82" t="s">
        <v>578</v>
      </c>
      <c r="D233" s="82" t="s">
        <v>579</v>
      </c>
      <c r="E233" s="65" t="str">
        <f>HYPERLINK("https://ictv.global/taxonomy/taxondetails?taxnode_id=202305103","202305103")</f>
        <v>202305103</v>
      </c>
      <c r="F233" s="83">
        <v>1</v>
      </c>
      <c r="G233" s="78" t="s">
        <v>776</v>
      </c>
      <c r="H233" s="68" t="s">
        <v>624</v>
      </c>
      <c r="I233" s="94">
        <v>1972</v>
      </c>
      <c r="J233" s="85" t="s">
        <v>66</v>
      </c>
      <c r="K233" s="85" t="s">
        <v>752</v>
      </c>
      <c r="L233" s="74">
        <v>-35.402656999999998</v>
      </c>
      <c r="M233" s="74">
        <v>144.252163</v>
      </c>
      <c r="N233" s="66" t="str">
        <f>HYPERLINK("https://www.ncbi.nlm.nih.gov/pubmed/5040017", "5040017")</f>
        <v>5040017</v>
      </c>
      <c r="O233" s="28">
        <v>3</v>
      </c>
      <c r="P233" s="54">
        <v>11585790</v>
      </c>
      <c r="Q233" s="54" t="str">
        <f>HYPERLINK("https://pubmed.ncbi.nlm.nih.gov/31538560/", "31538560")</f>
        <v>31538560</v>
      </c>
      <c r="R233" s="54"/>
      <c r="S233" s="7">
        <v>1</v>
      </c>
      <c r="T233" s="77" t="s">
        <v>154</v>
      </c>
      <c r="U233" s="30">
        <v>89008</v>
      </c>
      <c r="V233" s="30" t="str">
        <f>HYPERLINK("https://pubmed.ncbi.nlm.nih.gov/36194577/", "36194577")</f>
        <v>36194577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30">
        <v>24799374</v>
      </c>
      <c r="AF233" s="30"/>
      <c r="AG233" s="61">
        <v>0</v>
      </c>
      <c r="AH233" s="61">
        <v>0</v>
      </c>
      <c r="AI233" s="61">
        <v>1</v>
      </c>
      <c r="AJ233" s="61">
        <v>1</v>
      </c>
      <c r="AK233" s="61">
        <v>0</v>
      </c>
      <c r="AL233" s="64">
        <v>23054414</v>
      </c>
      <c r="AM233" s="64">
        <v>17360861</v>
      </c>
    </row>
    <row r="234" spans="1:70" ht="18" customHeight="1">
      <c r="A234" s="86" t="s">
        <v>625</v>
      </c>
      <c r="B234" s="87" t="s">
        <v>626</v>
      </c>
      <c r="C234" s="82" t="s">
        <v>578</v>
      </c>
      <c r="D234" s="82" t="s">
        <v>579</v>
      </c>
      <c r="E234" s="65" t="str">
        <f>HYPERLINK("https://ictv.global/taxonomy/taxondetails?taxnode_id=202305105","202305105")</f>
        <v>202305105</v>
      </c>
      <c r="F234" s="83">
        <v>1</v>
      </c>
      <c r="G234" s="78" t="s">
        <v>776</v>
      </c>
      <c r="H234" s="68" t="s">
        <v>972</v>
      </c>
      <c r="I234" s="94">
        <v>1979</v>
      </c>
      <c r="J234" s="85" t="s">
        <v>431</v>
      </c>
      <c r="K234" s="85" t="s">
        <v>753</v>
      </c>
      <c r="L234" s="76">
        <v>50.584051000000002</v>
      </c>
      <c r="M234" s="76">
        <v>8.6784029999999994</v>
      </c>
      <c r="N234" s="66" t="str">
        <f>HYPERLINK("https://www.ncbi.nlm.nih.gov/pubmed/424742", "424742")</f>
        <v>424742</v>
      </c>
      <c r="O234" s="28">
        <v>2</v>
      </c>
      <c r="P234" s="54" t="str">
        <f>HYPERLINK("https://onlinelibrary.wiley.com/doi/full/10.5402/2013/861912", "Direct link")</f>
        <v>Direct link</v>
      </c>
      <c r="Q234" s="54"/>
      <c r="R234" s="54"/>
      <c r="S234" s="7">
        <v>1</v>
      </c>
      <c r="T234" s="77" t="s">
        <v>154</v>
      </c>
      <c r="U234" s="30">
        <v>12491154</v>
      </c>
      <c r="V234" s="30" t="str">
        <f>HYPERLINK("https://pubmed.ncbi.nlm.nih.gov/37515274/", "37515274")</f>
        <v>37515274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30">
        <v>12491154</v>
      </c>
      <c r="AF234" s="30" t="str">
        <f>HYPERLINK("https://pubmed.ncbi.nlm.nih.gov/37515274/", "37515274")</f>
        <v>37515274</v>
      </c>
      <c r="AG234" s="61">
        <v>0</v>
      </c>
      <c r="AH234" s="61">
        <v>1</v>
      </c>
      <c r="AI234" s="61">
        <v>1</v>
      </c>
      <c r="AJ234" s="61">
        <v>0</v>
      </c>
      <c r="AK234" s="61">
        <v>0</v>
      </c>
      <c r="AL234" s="64">
        <v>17947533</v>
      </c>
      <c r="AM234" s="64"/>
    </row>
    <row r="235" spans="1:70" ht="18" customHeight="1">
      <c r="A235" s="80" t="s">
        <v>627</v>
      </c>
      <c r="B235" s="81" t="s">
        <v>628</v>
      </c>
      <c r="C235" s="82" t="s">
        <v>578</v>
      </c>
      <c r="D235" s="82" t="s">
        <v>579</v>
      </c>
      <c r="E235" s="65" t="str">
        <f>HYPERLINK("https://ictv.global/taxonomy/taxondetails?taxnode_id=202305106","202305106")</f>
        <v>202305106</v>
      </c>
      <c r="F235" s="83">
        <v>1</v>
      </c>
      <c r="G235" s="78" t="s">
        <v>776</v>
      </c>
      <c r="H235" s="68" t="s">
        <v>973</v>
      </c>
      <c r="I235" s="94">
        <v>1955</v>
      </c>
      <c r="J235" s="85" t="s">
        <v>630</v>
      </c>
      <c r="K235" s="85" t="s">
        <v>777</v>
      </c>
      <c r="L235" s="74">
        <v>30.044419999999999</v>
      </c>
      <c r="M235" s="74">
        <v>31.235711999999999</v>
      </c>
      <c r="N235" s="66" t="str">
        <f>HYPERLINK("https://www.ncbi.nlm.nih.gov/pubmed/13259009", "13259009")</f>
        <v>13259009</v>
      </c>
      <c r="O235" s="28">
        <v>2</v>
      </c>
      <c r="P235" s="54">
        <v>20085692</v>
      </c>
      <c r="Q235" s="54"/>
      <c r="R235" s="54"/>
      <c r="S235" s="7">
        <v>1</v>
      </c>
      <c r="T235" s="77" t="s">
        <v>142</v>
      </c>
      <c r="U235" s="30" t="str">
        <f>HYPERLINK("https://pubmed.ncbi.nlm.nih.gov/37051217/", "37051217")</f>
        <v>37051217</v>
      </c>
      <c r="V235" s="30" t="str">
        <f>HYPERLINK("https://pubmed.ncbi.nlm.nih.gov/38567020/", "38567020")</f>
        <v>38567020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30" t="s">
        <v>629</v>
      </c>
      <c r="AF235" s="30"/>
      <c r="AG235" s="61">
        <v>0</v>
      </c>
      <c r="AH235" s="61">
        <v>0</v>
      </c>
      <c r="AI235" s="61">
        <v>1</v>
      </c>
      <c r="AJ235" s="61">
        <v>1</v>
      </c>
      <c r="AK235" s="61">
        <v>0</v>
      </c>
      <c r="AL235" s="64">
        <v>15554947</v>
      </c>
      <c r="AM235" s="64"/>
    </row>
    <row r="236" spans="1:70" ht="18" customHeight="1">
      <c r="A236" s="86" t="s">
        <v>631</v>
      </c>
      <c r="B236" s="87" t="s">
        <v>632</v>
      </c>
      <c r="C236" s="82" t="s">
        <v>578</v>
      </c>
      <c r="D236" s="82" t="s">
        <v>579</v>
      </c>
      <c r="E236" s="65" t="str">
        <f>HYPERLINK("https://ictv.global/taxonomy/taxondetails?taxnode_id=202305108","202305108")</f>
        <v>202305108</v>
      </c>
      <c r="F236" s="83">
        <v>1</v>
      </c>
      <c r="G236" s="78" t="s">
        <v>776</v>
      </c>
      <c r="H236" s="68" t="s">
        <v>634</v>
      </c>
      <c r="I236" s="94">
        <v>1976</v>
      </c>
      <c r="J236" s="85" t="s">
        <v>290</v>
      </c>
      <c r="K236" s="85" t="s">
        <v>753</v>
      </c>
      <c r="L236" s="76">
        <v>3.9338890000000002</v>
      </c>
      <c r="M236" s="76">
        <v>-53.125782000000001</v>
      </c>
      <c r="N236" s="66" t="str">
        <f>HYPERLINK("https://www.ncbi.nlm.nih.gov/pubmed/1020877", "1020877")</f>
        <v>1020877</v>
      </c>
      <c r="O236" s="28">
        <v>3</v>
      </c>
      <c r="P236" s="54" t="str">
        <f>HYPERLINK("https://www.ncbi.nlm.nih.gov/pubmed/10619752", "10619752")</f>
        <v>10619752</v>
      </c>
      <c r="Q236" s="54" t="str">
        <f>HYPERLINK("https://pubmed.ncbi.nlm.nih.gov/35076005/", "35076005")</f>
        <v>35076005</v>
      </c>
      <c r="R236" s="54"/>
      <c r="S236" s="7">
        <v>1</v>
      </c>
      <c r="T236" s="77" t="s">
        <v>154</v>
      </c>
      <c r="U236" s="30">
        <v>11463116</v>
      </c>
      <c r="V236" s="53"/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1</v>
      </c>
      <c r="AD236" s="7">
        <v>0</v>
      </c>
      <c r="AE236" s="30" t="s">
        <v>633</v>
      </c>
      <c r="AF236" s="30" t="str">
        <f>HYPERLINK("https://pubmed.ncbi.nlm.nih.gov/35076005/", "35076005")</f>
        <v>35076005</v>
      </c>
      <c r="AG236" s="61">
        <v>0</v>
      </c>
      <c r="AH236" s="61">
        <v>0</v>
      </c>
      <c r="AI236" s="61">
        <v>1</v>
      </c>
      <c r="AJ236" s="61">
        <v>1</v>
      </c>
      <c r="AK236" s="61">
        <v>0</v>
      </c>
      <c r="AL236" s="64">
        <v>11463116</v>
      </c>
      <c r="AM236" s="64">
        <v>7435797</v>
      </c>
    </row>
    <row r="237" spans="1:70" ht="18" customHeight="1">
      <c r="A237" s="86" t="s">
        <v>635</v>
      </c>
      <c r="B237" s="87" t="s">
        <v>636</v>
      </c>
      <c r="C237" s="82" t="s">
        <v>578</v>
      </c>
      <c r="D237" s="82" t="s">
        <v>579</v>
      </c>
      <c r="E237" s="65" t="str">
        <f>HYPERLINK("https://ictv.global/taxonomy/taxondetails?taxnode_id=202305110","202305110")</f>
        <v>202305110</v>
      </c>
      <c r="F237" s="83">
        <v>1</v>
      </c>
      <c r="G237" s="78" t="s">
        <v>776</v>
      </c>
      <c r="H237" s="68"/>
      <c r="I237" s="94">
        <v>1963</v>
      </c>
      <c r="J237" s="85" t="s">
        <v>19</v>
      </c>
      <c r="K237" s="85" t="s">
        <v>401</v>
      </c>
      <c r="L237" s="76">
        <v>-1.387713</v>
      </c>
      <c r="M237" s="76">
        <v>-48.415641000000001</v>
      </c>
      <c r="N237" s="66" t="str">
        <f>HYPERLINK("https://www.ncbi.nlm.nih.gov/pubmed/14070772", "14070772")</f>
        <v>14070772</v>
      </c>
      <c r="O237" s="28">
        <v>2</v>
      </c>
      <c r="P237" s="54">
        <v>16968922</v>
      </c>
      <c r="Q237" s="54"/>
      <c r="R237" s="54"/>
      <c r="S237" s="7">
        <v>1</v>
      </c>
      <c r="T237" s="77" t="s">
        <v>154</v>
      </c>
      <c r="U237" s="30">
        <v>14070772</v>
      </c>
      <c r="V237" s="30" t="str">
        <f>HYPERLINK("https://pubmed.ncbi.nlm.nih.gov/31571566/", "31571566")</f>
        <v>31571566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30">
        <v>23085307</v>
      </c>
      <c r="AF237" s="30"/>
      <c r="AG237" s="61">
        <v>0</v>
      </c>
      <c r="AH237" s="61">
        <v>1</v>
      </c>
      <c r="AI237" s="61">
        <v>1</v>
      </c>
      <c r="AJ237" s="61">
        <v>0</v>
      </c>
      <c r="AK237" s="61">
        <v>0</v>
      </c>
      <c r="AL237" s="64">
        <v>17947533</v>
      </c>
      <c r="AM237" s="69">
        <v>17658571</v>
      </c>
    </row>
    <row r="238" spans="1:70" ht="18" customHeight="1">
      <c r="A238" s="86" t="s">
        <v>637</v>
      </c>
      <c r="B238" s="87" t="s">
        <v>638</v>
      </c>
      <c r="C238" s="82" t="s">
        <v>578</v>
      </c>
      <c r="D238" s="82" t="s">
        <v>579</v>
      </c>
      <c r="E238" s="65" t="str">
        <f>HYPERLINK("https://ictv.global/taxonomy/taxondetails?taxnode_id=202305111","202305111")</f>
        <v>202305111</v>
      </c>
      <c r="F238" s="83">
        <v>1</v>
      </c>
      <c r="G238" s="78" t="s">
        <v>776</v>
      </c>
      <c r="H238" s="68" t="s">
        <v>974</v>
      </c>
      <c r="I238" s="94">
        <v>1943</v>
      </c>
      <c r="J238" s="85" t="s">
        <v>29</v>
      </c>
      <c r="K238" s="85" t="s">
        <v>755</v>
      </c>
      <c r="L238" s="75">
        <v>40.712775000000001</v>
      </c>
      <c r="M238" s="75">
        <v>-74.005972999999997</v>
      </c>
      <c r="N238" s="66" t="str">
        <f>HYPERLINK("https://www.ncbi.nlm.nih.gov/pubmed/19871301", "19871301")</f>
        <v>19871301</v>
      </c>
      <c r="O238" s="28">
        <v>3</v>
      </c>
      <c r="P238" s="54">
        <v>8709783</v>
      </c>
      <c r="Q238" s="54" t="str">
        <f>HYPERLINK("https://pubmed.ncbi.nlm.nih.gov/21765860/", "21765860")</f>
        <v>21765860</v>
      </c>
      <c r="R238" s="54"/>
      <c r="S238" s="7">
        <v>1</v>
      </c>
      <c r="T238" s="77" t="s">
        <v>154</v>
      </c>
      <c r="U238" s="30">
        <v>1259093</v>
      </c>
      <c r="V238" s="30" t="str">
        <f>HYPERLINK("https://pubmed.ncbi.nlm.nih.gov/36737290/", "36737290")</f>
        <v>36737290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30">
        <v>22989182</v>
      </c>
      <c r="AF238" s="30" t="str">
        <f>HYPERLINK("https://pubmed.ncbi.nlm.nih.gov/32755661/", "32755661")</f>
        <v>32755661</v>
      </c>
      <c r="AG238" s="61">
        <v>0</v>
      </c>
      <c r="AH238" s="61">
        <v>0</v>
      </c>
      <c r="AI238" s="61">
        <v>1</v>
      </c>
      <c r="AJ238" s="61">
        <v>1</v>
      </c>
      <c r="AK238" s="61">
        <v>0</v>
      </c>
      <c r="AL238" s="69">
        <v>2863991</v>
      </c>
      <c r="AM238" s="64">
        <v>7563415</v>
      </c>
    </row>
    <row r="239" spans="1:70" ht="18" customHeight="1">
      <c r="A239" s="86" t="s">
        <v>739</v>
      </c>
      <c r="B239" s="87" t="s">
        <v>639</v>
      </c>
      <c r="C239" s="82" t="s">
        <v>578</v>
      </c>
      <c r="D239" s="82" t="s">
        <v>579</v>
      </c>
      <c r="E239" s="65" t="str">
        <f>HYPERLINK("https://ictv.global/taxonomy/taxondetails?taxnode_id=202305112","202305112")</f>
        <v>202305112</v>
      </c>
      <c r="F239" s="83">
        <v>1</v>
      </c>
      <c r="G239" s="78" t="s">
        <v>776</v>
      </c>
      <c r="H239" s="68" t="s">
        <v>640</v>
      </c>
      <c r="I239" s="94">
        <v>1938</v>
      </c>
      <c r="J239" s="85" t="s">
        <v>29</v>
      </c>
      <c r="K239" s="85" t="s">
        <v>755</v>
      </c>
      <c r="L239" s="73">
        <v>36.746842000000001</v>
      </c>
      <c r="M239" s="73">
        <v>-119.772587</v>
      </c>
      <c r="N239" s="66" t="str">
        <f>HYPERLINK("https://www.ncbi.nlm.nih.gov/pubmed/17736946", "17736946")</f>
        <v>17736946</v>
      </c>
      <c r="O239" s="28">
        <v>3</v>
      </c>
      <c r="P239" s="54">
        <v>13062068</v>
      </c>
      <c r="Q239" s="54"/>
      <c r="R239" s="54"/>
      <c r="S239" s="7">
        <v>1</v>
      </c>
      <c r="T239" s="77" t="s">
        <v>154</v>
      </c>
      <c r="U239" s="30" t="str">
        <f>HYPERLINK("https://pubmed.ncbi.nlm.nih.gov/32027727/", "32027727")</f>
        <v>32027727</v>
      </c>
      <c r="V239" s="30" t="str">
        <f>HYPERLINK("https://pubmed.ncbi.nlm.nih.gov/35298486/", "35298486")</f>
        <v>35298486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30">
        <v>22989182</v>
      </c>
      <c r="AF239" s="30" t="str">
        <f>HYPERLINK("https://pubmed.ncbi.nlm.nih.gov/32755661/", "32755661")</f>
        <v>32755661</v>
      </c>
      <c r="AG239" s="61">
        <v>0</v>
      </c>
      <c r="AH239" s="61">
        <v>0</v>
      </c>
      <c r="AI239" s="61">
        <v>1</v>
      </c>
      <c r="AJ239" s="61">
        <v>1</v>
      </c>
      <c r="AK239" s="61">
        <v>1</v>
      </c>
      <c r="AL239" s="64">
        <v>2863991</v>
      </c>
      <c r="AM239" s="64"/>
      <c r="BR239" s="71"/>
    </row>
    <row r="240" spans="1:70" ht="18" customHeight="1">
      <c r="A240" s="95" t="s">
        <v>641</v>
      </c>
      <c r="B240" s="96" t="s">
        <v>642</v>
      </c>
      <c r="C240" s="82" t="s">
        <v>578</v>
      </c>
      <c r="D240" s="82" t="s">
        <v>579</v>
      </c>
      <c r="E240" s="65" t="str">
        <f>HYPERLINK("https://ictv.global/taxonomy/taxondetails?taxnode_id=202305113","202305113")</f>
        <v>202305113</v>
      </c>
      <c r="F240" s="83">
        <v>1</v>
      </c>
      <c r="G240" s="78" t="s">
        <v>776</v>
      </c>
      <c r="H240" s="68" t="s">
        <v>644</v>
      </c>
      <c r="I240" s="94">
        <v>1964</v>
      </c>
      <c r="J240" s="85" t="s">
        <v>643</v>
      </c>
      <c r="K240" s="85" t="s">
        <v>752</v>
      </c>
      <c r="L240" s="73">
        <v>-42.450392000000001</v>
      </c>
      <c r="M240" s="73">
        <v>171.21076199999999</v>
      </c>
      <c r="N240" s="66" t="str">
        <f>HYPERLINK("https://www.ncbi.nlm.nih.gov/pubmed/14244706", "14244706")</f>
        <v>14244706</v>
      </c>
      <c r="O240" s="28">
        <v>2</v>
      </c>
      <c r="P240" s="54">
        <v>16222361</v>
      </c>
      <c r="Q240" s="54"/>
      <c r="R240" s="54"/>
      <c r="S240" s="7">
        <v>1</v>
      </c>
      <c r="T240" s="77" t="s">
        <v>154</v>
      </c>
      <c r="U240" s="30">
        <v>4381558</v>
      </c>
      <c r="V240" s="30">
        <v>21734146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30">
        <v>15381803</v>
      </c>
      <c r="AF240" s="30"/>
      <c r="AG240" s="61">
        <v>0</v>
      </c>
      <c r="AH240" s="61">
        <v>0</v>
      </c>
      <c r="AI240" s="61">
        <v>1</v>
      </c>
      <c r="AJ240" s="61">
        <v>1</v>
      </c>
      <c r="AK240" s="61">
        <v>0</v>
      </c>
      <c r="AL240" s="64">
        <v>17947533</v>
      </c>
      <c r="AM240" s="64" t="str">
        <f>HYPERLINK("https://pubmed.ncbi.nlm.nih.gov/36366575/", "36366575")</f>
        <v>36366575</v>
      </c>
    </row>
    <row r="241" spans="8:39" ht="18" customHeight="1">
      <c r="H241" s="97"/>
      <c r="I241" s="23"/>
      <c r="J241" s="98"/>
      <c r="K241" s="98"/>
      <c r="N241" s="100"/>
      <c r="O241" s="24"/>
      <c r="P241" s="101"/>
      <c r="Q241" s="101"/>
      <c r="R241" s="100"/>
      <c r="U241" s="102"/>
      <c r="V241" s="102"/>
      <c r="W241" s="15"/>
      <c r="X241" s="15"/>
      <c r="Y241" s="15"/>
      <c r="Z241" s="15"/>
      <c r="AA241" s="15"/>
      <c r="AB241" s="15"/>
      <c r="AC241" s="15"/>
      <c r="AD241" s="15"/>
      <c r="AE241" s="15"/>
      <c r="AF241" s="2"/>
      <c r="AL241" s="102"/>
      <c r="AM241" s="102"/>
    </row>
    <row r="242" spans="8:39" ht="18" customHeight="1">
      <c r="I242" s="23"/>
      <c r="J242" s="98"/>
      <c r="K242" s="98"/>
      <c r="N242" s="25"/>
      <c r="O242" s="24"/>
      <c r="P242" s="24"/>
      <c r="Q242" s="24"/>
      <c r="R242" s="25"/>
      <c r="W242" s="15"/>
      <c r="X242" s="15"/>
      <c r="Y242" s="15"/>
      <c r="Z242" s="15"/>
      <c r="AA242" s="15"/>
      <c r="AB242" s="15"/>
      <c r="AC242" s="15"/>
      <c r="AD242" s="15"/>
      <c r="AE242" s="15"/>
      <c r="AF242" s="2"/>
    </row>
    <row r="243" spans="8:39" ht="18" customHeight="1">
      <c r="I243" s="23"/>
      <c r="J243" s="98"/>
      <c r="K243" s="98"/>
      <c r="N243" s="25"/>
      <c r="O243" s="24"/>
      <c r="P243" s="24"/>
      <c r="Q243" s="24"/>
      <c r="R243" s="25"/>
      <c r="W243" s="15"/>
      <c r="X243" s="15"/>
      <c r="Y243" s="15"/>
      <c r="Z243" s="15"/>
      <c r="AA243" s="15"/>
      <c r="AB243" s="15"/>
      <c r="AC243" s="15"/>
      <c r="AD243" s="15"/>
      <c r="AE243" s="15"/>
      <c r="AF243" s="2"/>
    </row>
    <row r="244" spans="8:39" ht="18" customHeight="1">
      <c r="I244" s="23"/>
      <c r="J244" s="98"/>
      <c r="K244" s="98"/>
      <c r="N244" s="25"/>
      <c r="O244" s="24"/>
      <c r="P244" s="24"/>
      <c r="Q244" s="24"/>
      <c r="R244" s="25"/>
      <c r="W244" s="15"/>
      <c r="X244" s="15"/>
      <c r="Y244" s="15"/>
      <c r="Z244" s="15"/>
      <c r="AA244" s="15"/>
      <c r="AB244" s="15"/>
      <c r="AC244" s="15"/>
      <c r="AD244" s="15"/>
      <c r="AE244" s="15"/>
      <c r="AF244" s="2"/>
    </row>
    <row r="245" spans="8:39" ht="18" customHeight="1">
      <c r="I245" s="23"/>
      <c r="J245" s="98"/>
      <c r="K245" s="98"/>
      <c r="N245" s="25"/>
      <c r="O245" s="24"/>
      <c r="P245" s="24"/>
      <c r="Q245" s="24"/>
      <c r="R245" s="25"/>
      <c r="W245" s="15"/>
      <c r="X245" s="15"/>
      <c r="Y245" s="15"/>
      <c r="Z245" s="15"/>
      <c r="AA245" s="15"/>
      <c r="AB245" s="15"/>
      <c r="AC245" s="15"/>
      <c r="AD245" s="15"/>
      <c r="AE245" s="15"/>
      <c r="AF245" s="2"/>
    </row>
    <row r="246" spans="8:39" ht="18" customHeight="1">
      <c r="I246" s="23"/>
      <c r="J246" s="98"/>
      <c r="K246" s="98"/>
      <c r="N246" s="25"/>
      <c r="O246" s="24"/>
      <c r="P246" s="24"/>
      <c r="Q246" s="24"/>
      <c r="R246" s="25"/>
      <c r="W246" s="15"/>
      <c r="X246" s="15"/>
      <c r="Y246" s="15"/>
      <c r="Z246" s="15"/>
      <c r="AA246" s="15"/>
      <c r="AB246" s="15"/>
      <c r="AC246" s="15"/>
      <c r="AD246" s="15"/>
      <c r="AE246" s="15"/>
      <c r="AF246" s="2"/>
    </row>
    <row r="247" spans="8:39" ht="18" customHeight="1">
      <c r="I247" s="23"/>
      <c r="J247" s="98"/>
      <c r="K247" s="98"/>
      <c r="N247" s="25"/>
      <c r="O247" s="24"/>
      <c r="P247" s="24"/>
      <c r="Q247" s="24"/>
      <c r="R247" s="25"/>
      <c r="W247" s="15"/>
      <c r="X247" s="15"/>
      <c r="Y247" s="15"/>
      <c r="Z247" s="15"/>
      <c r="AA247" s="15"/>
      <c r="AB247" s="15"/>
      <c r="AC247" s="15"/>
      <c r="AD247" s="15"/>
      <c r="AE247" s="15"/>
      <c r="AF247" s="2"/>
    </row>
    <row r="248" spans="8:39" ht="18" customHeight="1">
      <c r="I248" s="23"/>
      <c r="J248" s="98"/>
      <c r="K248" s="98"/>
      <c r="N248" s="25"/>
      <c r="O248" s="24"/>
      <c r="P248" s="24"/>
      <c r="Q248" s="24"/>
      <c r="R248" s="25"/>
      <c r="W248" s="15"/>
      <c r="X248" s="15"/>
      <c r="Y248" s="15"/>
      <c r="Z248" s="15"/>
      <c r="AA248" s="15"/>
      <c r="AB248" s="15"/>
      <c r="AC248" s="15"/>
      <c r="AD248" s="15"/>
      <c r="AE248" s="15"/>
      <c r="AF248" s="2"/>
    </row>
    <row r="249" spans="8:39" ht="18" customHeight="1">
      <c r="I249" s="23"/>
      <c r="J249" s="98"/>
      <c r="K249" s="98"/>
      <c r="N249" s="25"/>
      <c r="O249" s="24"/>
      <c r="P249" s="24"/>
      <c r="Q249" s="24"/>
      <c r="R249" s="25"/>
      <c r="W249" s="15"/>
      <c r="X249" s="15"/>
      <c r="Y249" s="15"/>
      <c r="Z249" s="15"/>
      <c r="AA249" s="15"/>
      <c r="AB249" s="15"/>
      <c r="AC249" s="15"/>
      <c r="AD249" s="15"/>
      <c r="AE249" s="15"/>
      <c r="AF249" s="2"/>
    </row>
    <row r="250" spans="8:39" ht="18" customHeight="1">
      <c r="I250" s="23"/>
      <c r="J250" s="98"/>
      <c r="K250" s="98"/>
      <c r="N250" s="25"/>
      <c r="O250" s="24"/>
      <c r="P250" s="24"/>
      <c r="Q250" s="24"/>
      <c r="R250" s="25"/>
      <c r="W250" s="15"/>
      <c r="X250" s="15"/>
      <c r="Y250" s="15"/>
      <c r="Z250" s="15"/>
      <c r="AA250" s="15"/>
      <c r="AB250" s="15"/>
      <c r="AC250" s="15"/>
      <c r="AD250" s="15"/>
      <c r="AE250" s="15"/>
      <c r="AF250" s="2"/>
    </row>
    <row r="251" spans="8:39" ht="18" customHeight="1">
      <c r="I251" s="23"/>
      <c r="J251" s="98"/>
      <c r="K251" s="98"/>
      <c r="N251" s="25"/>
      <c r="O251" s="24"/>
      <c r="P251" s="24"/>
      <c r="Q251" s="24"/>
      <c r="R251" s="25"/>
      <c r="W251" s="15"/>
      <c r="X251" s="15"/>
      <c r="Y251" s="15"/>
      <c r="Z251" s="15"/>
      <c r="AA251" s="15"/>
      <c r="AB251" s="15"/>
      <c r="AC251" s="15"/>
      <c r="AD251" s="15"/>
      <c r="AE251" s="15"/>
      <c r="AF251" s="2"/>
    </row>
    <row r="252" spans="8:39" ht="18" customHeight="1">
      <c r="I252" s="23"/>
      <c r="J252" s="98"/>
      <c r="K252" s="98"/>
      <c r="N252" s="25"/>
      <c r="O252" s="24"/>
      <c r="P252" s="24"/>
      <c r="Q252" s="24"/>
      <c r="R252" s="25"/>
      <c r="W252" s="15"/>
      <c r="X252" s="15"/>
      <c r="Y252" s="15"/>
      <c r="Z252" s="15"/>
      <c r="AA252" s="15"/>
      <c r="AB252" s="15"/>
      <c r="AC252" s="15"/>
      <c r="AD252" s="15"/>
      <c r="AE252" s="15"/>
      <c r="AF252" s="2"/>
    </row>
    <row r="253" spans="8:39" ht="18" customHeight="1">
      <c r="I253" s="23"/>
      <c r="J253" s="98"/>
      <c r="K253" s="98"/>
      <c r="N253" s="25"/>
      <c r="O253" s="24"/>
      <c r="P253" s="24"/>
      <c r="Q253" s="24"/>
      <c r="R253" s="25"/>
      <c r="W253" s="15"/>
      <c r="X253" s="15"/>
      <c r="Y253" s="15"/>
      <c r="Z253" s="15"/>
      <c r="AA253" s="15"/>
      <c r="AB253" s="15"/>
      <c r="AC253" s="15"/>
      <c r="AD253" s="15"/>
      <c r="AE253" s="15"/>
      <c r="AF253" s="2"/>
    </row>
    <row r="254" spans="8:39" ht="18" customHeight="1">
      <c r="I254" s="23"/>
      <c r="J254" s="98"/>
      <c r="K254" s="98"/>
      <c r="N254" s="25"/>
      <c r="O254" s="24"/>
      <c r="P254" s="24"/>
      <c r="Q254" s="24"/>
      <c r="R254" s="25"/>
      <c r="W254" s="15"/>
      <c r="X254" s="15"/>
      <c r="Y254" s="15"/>
      <c r="Z254" s="15"/>
      <c r="AA254" s="15"/>
      <c r="AB254" s="15"/>
      <c r="AC254" s="15"/>
      <c r="AD254" s="15"/>
      <c r="AE254" s="15"/>
      <c r="AF254" s="2"/>
    </row>
    <row r="255" spans="8:39" ht="18" customHeight="1">
      <c r="I255" s="23"/>
      <c r="J255" s="98"/>
      <c r="K255" s="98"/>
      <c r="N255" s="25"/>
      <c r="O255" s="24"/>
      <c r="P255" s="24"/>
      <c r="Q255" s="24"/>
      <c r="R255" s="25"/>
      <c r="W255" s="15"/>
      <c r="X255" s="15"/>
      <c r="Y255" s="15"/>
      <c r="Z255" s="15"/>
      <c r="AA255" s="15"/>
      <c r="AB255" s="15"/>
      <c r="AC255" s="15"/>
      <c r="AD255" s="15"/>
      <c r="AE255" s="15"/>
      <c r="AF255" s="2"/>
    </row>
    <row r="256" spans="8:39" ht="18" customHeight="1">
      <c r="I256" s="23"/>
      <c r="J256" s="98"/>
      <c r="K256" s="98"/>
      <c r="N256" s="25"/>
      <c r="O256" s="24"/>
      <c r="P256" s="24"/>
      <c r="Q256" s="24"/>
      <c r="R256" s="25"/>
      <c r="W256" s="15"/>
      <c r="X256" s="15"/>
      <c r="Y256" s="15"/>
      <c r="Z256" s="15"/>
      <c r="AA256" s="15"/>
      <c r="AB256" s="15"/>
      <c r="AC256" s="15"/>
      <c r="AD256" s="15"/>
      <c r="AE256" s="15"/>
      <c r="AF256" s="2"/>
    </row>
    <row r="257" spans="9:32" ht="18" customHeight="1">
      <c r="I257" s="23"/>
      <c r="J257" s="98"/>
      <c r="K257" s="98"/>
      <c r="N257" s="25"/>
      <c r="O257" s="24"/>
      <c r="P257" s="24"/>
      <c r="Q257" s="24"/>
      <c r="R257" s="25"/>
      <c r="W257" s="15"/>
      <c r="X257" s="15"/>
      <c r="Y257" s="15"/>
      <c r="Z257" s="15"/>
      <c r="AA257" s="15"/>
      <c r="AB257" s="15"/>
      <c r="AC257" s="15"/>
      <c r="AD257" s="15"/>
      <c r="AE257" s="15"/>
      <c r="AF257" s="2"/>
    </row>
    <row r="258" spans="9:32" ht="18" customHeight="1">
      <c r="I258" s="26"/>
      <c r="J258" s="98"/>
      <c r="K258" s="98"/>
      <c r="N258" s="25"/>
      <c r="O258" s="24"/>
      <c r="P258" s="24"/>
      <c r="Q258" s="24"/>
      <c r="R258" s="25"/>
      <c r="W258" s="15"/>
      <c r="X258" s="15"/>
      <c r="Y258" s="15"/>
      <c r="Z258" s="15"/>
      <c r="AA258" s="15"/>
      <c r="AB258" s="15"/>
      <c r="AC258" s="15"/>
      <c r="AD258" s="15"/>
      <c r="AE258" s="15"/>
      <c r="AF258" s="2"/>
    </row>
    <row r="259" spans="9:32" ht="18" customHeight="1">
      <c r="I259" s="26"/>
      <c r="J259" s="98"/>
      <c r="K259" s="98"/>
      <c r="N259" s="25"/>
      <c r="O259" s="24"/>
      <c r="P259" s="24"/>
      <c r="Q259" s="24"/>
      <c r="R259" s="25"/>
      <c r="W259" s="15"/>
      <c r="X259" s="15"/>
      <c r="Y259" s="15"/>
      <c r="Z259" s="15"/>
      <c r="AA259" s="15"/>
      <c r="AB259" s="15"/>
      <c r="AC259" s="15"/>
      <c r="AD259" s="15"/>
      <c r="AE259" s="15"/>
      <c r="AF259" s="2"/>
    </row>
    <row r="260" spans="9:32" ht="18" customHeight="1">
      <c r="I260" s="23"/>
      <c r="J260" s="98"/>
      <c r="K260" s="98"/>
      <c r="N260" s="2"/>
      <c r="O260" s="24"/>
      <c r="P260" s="24"/>
      <c r="Q260" s="24"/>
      <c r="R260" s="2"/>
      <c r="W260" s="15"/>
      <c r="X260" s="15"/>
      <c r="Y260" s="15"/>
      <c r="Z260" s="15"/>
      <c r="AA260" s="15"/>
      <c r="AB260" s="15"/>
      <c r="AC260" s="15"/>
      <c r="AD260" s="15"/>
      <c r="AE260" s="15"/>
      <c r="AF260" s="2"/>
    </row>
    <row r="261" spans="9:32" ht="18" customHeight="1">
      <c r="I261" s="23"/>
      <c r="J261" s="98"/>
      <c r="K261" s="98"/>
      <c r="N261" s="2"/>
      <c r="O261" s="24"/>
      <c r="P261" s="24"/>
      <c r="Q261" s="24"/>
      <c r="R261" s="2"/>
      <c r="W261" s="15"/>
      <c r="X261" s="15"/>
      <c r="Y261" s="15"/>
      <c r="Z261" s="15"/>
      <c r="AA261" s="15"/>
      <c r="AB261" s="15"/>
      <c r="AC261" s="15"/>
      <c r="AD261" s="15"/>
      <c r="AE261" s="15"/>
      <c r="AF261" s="2"/>
    </row>
    <row r="262" spans="9:32" ht="18" customHeight="1">
      <c r="I262" s="23"/>
      <c r="J262" s="98"/>
      <c r="K262" s="98"/>
      <c r="N262" s="2"/>
      <c r="O262" s="24"/>
      <c r="P262" s="24"/>
      <c r="Q262" s="24"/>
      <c r="R262" s="2"/>
      <c r="W262" s="15"/>
      <c r="X262" s="15"/>
      <c r="Y262" s="15"/>
      <c r="Z262" s="15"/>
      <c r="AA262" s="15"/>
      <c r="AB262" s="15"/>
      <c r="AC262" s="15"/>
      <c r="AD262" s="15"/>
      <c r="AE262" s="15"/>
      <c r="AF262" s="2"/>
    </row>
    <row r="263" spans="9:32" ht="18" customHeight="1">
      <c r="I263" s="23"/>
      <c r="J263" s="98"/>
      <c r="K263" s="98"/>
      <c r="N263" s="2"/>
      <c r="O263" s="24"/>
      <c r="P263" s="24"/>
      <c r="Q263" s="24"/>
      <c r="R263" s="2"/>
      <c r="W263" s="15"/>
      <c r="X263" s="15"/>
      <c r="Y263" s="15"/>
      <c r="Z263" s="15"/>
      <c r="AA263" s="15"/>
      <c r="AB263" s="15"/>
      <c r="AC263" s="15"/>
      <c r="AD263" s="15"/>
      <c r="AE263" s="15"/>
      <c r="AF263" s="2"/>
    </row>
    <row r="264" spans="9:32" ht="18" customHeight="1">
      <c r="I264" s="23"/>
      <c r="J264" s="98"/>
      <c r="K264" s="98"/>
      <c r="N264" s="2"/>
      <c r="O264" s="24"/>
      <c r="P264" s="24"/>
      <c r="Q264" s="24"/>
      <c r="R264" s="2"/>
      <c r="W264" s="15"/>
      <c r="X264" s="15"/>
      <c r="Y264" s="15"/>
      <c r="Z264" s="15"/>
      <c r="AA264" s="15"/>
      <c r="AB264" s="15"/>
      <c r="AC264" s="15"/>
      <c r="AD264" s="15"/>
      <c r="AE264" s="15"/>
      <c r="AF264" s="2"/>
    </row>
    <row r="265" spans="9:32" ht="18" customHeight="1">
      <c r="I265" s="23"/>
      <c r="J265" s="98"/>
      <c r="K265" s="98"/>
      <c r="N265" s="2"/>
      <c r="O265" s="24"/>
      <c r="P265" s="24"/>
      <c r="Q265" s="24"/>
      <c r="R265" s="2"/>
      <c r="W265" s="15"/>
      <c r="X265" s="15"/>
      <c r="Y265" s="15"/>
      <c r="Z265" s="15"/>
      <c r="AA265" s="15"/>
      <c r="AB265" s="15"/>
      <c r="AC265" s="15"/>
      <c r="AD265" s="15"/>
      <c r="AE265" s="15"/>
      <c r="AF265" s="2"/>
    </row>
    <row r="266" spans="9:32" ht="18" customHeight="1">
      <c r="I266" s="23"/>
      <c r="J266" s="98"/>
      <c r="K266" s="98"/>
      <c r="N266" s="2"/>
      <c r="O266" s="24"/>
      <c r="P266" s="24"/>
      <c r="Q266" s="24"/>
      <c r="R266" s="2"/>
      <c r="W266" s="15"/>
      <c r="X266" s="15"/>
      <c r="Y266" s="15"/>
      <c r="Z266" s="15"/>
      <c r="AA266" s="15"/>
      <c r="AB266" s="15"/>
      <c r="AC266" s="15"/>
      <c r="AD266" s="15"/>
      <c r="AE266" s="15"/>
      <c r="AF266" s="2"/>
    </row>
    <row r="267" spans="9:32" ht="18" customHeight="1">
      <c r="I267" s="23"/>
      <c r="J267" s="98"/>
      <c r="K267" s="98"/>
      <c r="N267" s="2"/>
      <c r="O267" s="24"/>
      <c r="P267" s="24"/>
      <c r="Q267" s="24"/>
      <c r="R267" s="2"/>
      <c r="W267" s="15"/>
      <c r="X267" s="15"/>
      <c r="Y267" s="15"/>
      <c r="Z267" s="15"/>
      <c r="AA267" s="15"/>
      <c r="AB267" s="15"/>
      <c r="AC267" s="15"/>
      <c r="AD267" s="15"/>
      <c r="AE267" s="15"/>
      <c r="AF267" s="2"/>
    </row>
    <row r="268" spans="9:32" ht="18" customHeight="1">
      <c r="I268" s="23"/>
      <c r="J268" s="98"/>
      <c r="K268" s="98"/>
      <c r="N268" s="2"/>
      <c r="O268" s="24"/>
      <c r="P268" s="24"/>
      <c r="Q268" s="24"/>
      <c r="R268" s="2"/>
      <c r="W268" s="15"/>
      <c r="X268" s="15"/>
      <c r="Y268" s="15"/>
      <c r="Z268" s="15"/>
      <c r="AA268" s="15"/>
      <c r="AB268" s="15"/>
      <c r="AC268" s="15"/>
      <c r="AD268" s="15"/>
      <c r="AE268" s="15"/>
      <c r="AF268" s="2"/>
    </row>
    <row r="269" spans="9:32" ht="18" customHeight="1">
      <c r="I269" s="23"/>
      <c r="N269" s="2"/>
      <c r="O269" s="24"/>
      <c r="P269" s="24"/>
      <c r="Q269" s="24"/>
      <c r="R269" s="2"/>
      <c r="W269" s="15"/>
      <c r="X269" s="15"/>
      <c r="Y269" s="15"/>
      <c r="Z269" s="15"/>
      <c r="AA269" s="15"/>
      <c r="AB269" s="15"/>
      <c r="AC269" s="15"/>
      <c r="AD269" s="15"/>
      <c r="AE269" s="15"/>
      <c r="AF269" s="2"/>
    </row>
    <row r="270" spans="9:32" ht="18" customHeight="1">
      <c r="I270" s="23"/>
      <c r="N270" s="2"/>
      <c r="O270" s="24"/>
      <c r="P270" s="24"/>
      <c r="Q270" s="24"/>
      <c r="R270" s="2"/>
      <c r="W270" s="15"/>
      <c r="X270" s="15"/>
      <c r="Y270" s="15"/>
      <c r="Z270" s="15"/>
      <c r="AA270" s="15"/>
      <c r="AB270" s="15"/>
      <c r="AC270" s="15"/>
      <c r="AD270" s="15"/>
      <c r="AE270" s="15"/>
      <c r="AF270" s="2"/>
    </row>
    <row r="271" spans="9:32" ht="18" customHeight="1">
      <c r="I271" s="23"/>
      <c r="N271" s="2"/>
      <c r="O271" s="24"/>
      <c r="P271" s="24"/>
      <c r="Q271" s="24"/>
      <c r="R271" s="2"/>
      <c r="W271" s="15"/>
      <c r="X271" s="15"/>
      <c r="Y271" s="15"/>
      <c r="Z271" s="15"/>
      <c r="AA271" s="15"/>
      <c r="AB271" s="15"/>
      <c r="AC271" s="15"/>
      <c r="AD271" s="15"/>
      <c r="AE271" s="15"/>
      <c r="AF271" s="2"/>
    </row>
    <row r="272" spans="9:32" ht="18" customHeight="1">
      <c r="I272" s="23"/>
      <c r="N272" s="2"/>
      <c r="O272" s="24"/>
      <c r="P272" s="24"/>
      <c r="Q272" s="24"/>
      <c r="R272" s="2"/>
      <c r="W272" s="15"/>
      <c r="X272" s="15"/>
      <c r="Y272" s="15"/>
      <c r="Z272" s="15"/>
      <c r="AA272" s="15"/>
      <c r="AB272" s="15"/>
      <c r="AC272" s="15"/>
      <c r="AD272" s="15"/>
      <c r="AE272" s="15"/>
      <c r="AF272" s="2"/>
    </row>
    <row r="273" spans="3:31" s="2" customFormat="1" ht="18" customHeight="1">
      <c r="C273" s="14"/>
      <c r="G273" s="15"/>
      <c r="H273" s="17"/>
      <c r="I273" s="23"/>
      <c r="J273" s="5"/>
      <c r="K273" s="5"/>
      <c r="L273" s="1"/>
      <c r="M273" s="1"/>
      <c r="O273" s="24"/>
      <c r="P273" s="24"/>
      <c r="Q273" s="24"/>
      <c r="T273" s="16"/>
      <c r="U273" s="16"/>
      <c r="V273" s="16"/>
      <c r="W273" s="15"/>
      <c r="X273" s="15"/>
      <c r="Y273" s="15"/>
      <c r="Z273" s="15"/>
      <c r="AA273" s="15"/>
      <c r="AB273" s="15"/>
      <c r="AC273" s="15"/>
      <c r="AD273" s="15"/>
      <c r="AE273" s="15"/>
    </row>
    <row r="274" spans="3:31" s="2" customFormat="1" ht="18" customHeight="1">
      <c r="C274" s="14"/>
      <c r="G274" s="15"/>
      <c r="H274" s="17"/>
      <c r="I274" s="23"/>
      <c r="J274" s="5"/>
      <c r="K274" s="5"/>
      <c r="L274" s="1"/>
      <c r="M274" s="1"/>
      <c r="O274" s="24"/>
      <c r="P274" s="24"/>
      <c r="Q274" s="24"/>
      <c r="T274" s="16"/>
      <c r="U274" s="16"/>
      <c r="V274" s="16"/>
      <c r="W274" s="15"/>
      <c r="X274" s="15"/>
      <c r="Y274" s="15"/>
      <c r="Z274" s="15"/>
      <c r="AA274" s="15"/>
      <c r="AB274" s="15"/>
      <c r="AC274" s="15"/>
      <c r="AD274" s="15"/>
      <c r="AE274" s="15"/>
    </row>
    <row r="275" spans="3:31" s="2" customFormat="1" ht="18" customHeight="1">
      <c r="C275" s="14"/>
      <c r="G275" s="15"/>
      <c r="H275" s="17"/>
      <c r="I275" s="23"/>
      <c r="J275" s="5"/>
      <c r="K275" s="5"/>
      <c r="L275" s="1"/>
      <c r="M275" s="1"/>
      <c r="O275" s="24"/>
      <c r="P275" s="24"/>
      <c r="Q275" s="24"/>
      <c r="T275" s="16"/>
      <c r="U275" s="16"/>
      <c r="V275" s="16"/>
      <c r="W275" s="15"/>
      <c r="X275" s="15"/>
      <c r="Y275" s="15"/>
      <c r="Z275" s="15"/>
      <c r="AA275" s="15"/>
      <c r="AB275" s="15"/>
      <c r="AC275" s="15"/>
      <c r="AD275" s="15"/>
      <c r="AE275" s="15"/>
    </row>
    <row r="276" spans="3:31" s="2" customFormat="1" ht="18" customHeight="1">
      <c r="C276" s="14"/>
      <c r="G276" s="15"/>
      <c r="H276" s="17"/>
      <c r="I276" s="23"/>
      <c r="J276" s="5"/>
      <c r="K276" s="5"/>
      <c r="L276" s="1"/>
      <c r="M276" s="1"/>
      <c r="O276" s="24"/>
      <c r="P276" s="24"/>
      <c r="Q276" s="24"/>
      <c r="T276" s="16"/>
      <c r="U276" s="16"/>
      <c r="V276" s="16"/>
      <c r="W276" s="15"/>
      <c r="X276" s="15"/>
      <c r="Y276" s="15"/>
      <c r="Z276" s="15"/>
      <c r="AA276" s="15"/>
      <c r="AB276" s="15"/>
      <c r="AC276" s="15"/>
      <c r="AD276" s="15"/>
      <c r="AE276" s="15"/>
    </row>
    <row r="277" spans="3:31" s="2" customFormat="1" ht="18" customHeight="1">
      <c r="C277" s="14"/>
      <c r="G277" s="15"/>
      <c r="H277" s="17"/>
      <c r="I277" s="23"/>
      <c r="J277" s="5"/>
      <c r="K277" s="5"/>
      <c r="L277" s="1"/>
      <c r="M277" s="1"/>
      <c r="O277" s="24"/>
      <c r="P277" s="24"/>
      <c r="Q277" s="24"/>
      <c r="T277" s="16"/>
      <c r="U277" s="16"/>
      <c r="V277" s="16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3:31" s="2" customFormat="1" ht="18" customHeight="1">
      <c r="C278" s="14"/>
      <c r="G278" s="15"/>
      <c r="H278" s="17"/>
      <c r="I278" s="23"/>
      <c r="J278" s="5"/>
      <c r="K278" s="5"/>
      <c r="L278" s="1"/>
      <c r="M278" s="1"/>
      <c r="O278" s="24"/>
      <c r="P278" s="24"/>
      <c r="Q278" s="24"/>
      <c r="T278" s="16"/>
      <c r="U278" s="16"/>
      <c r="V278" s="16"/>
      <c r="W278" s="15"/>
      <c r="X278" s="15"/>
      <c r="Y278" s="15"/>
      <c r="Z278" s="15"/>
      <c r="AA278" s="15"/>
      <c r="AB278" s="15"/>
      <c r="AC278" s="15"/>
      <c r="AD278" s="15"/>
      <c r="AE278" s="15"/>
    </row>
    <row r="279" spans="3:31" s="2" customFormat="1" ht="18" customHeight="1">
      <c r="C279" s="14"/>
      <c r="G279" s="15"/>
      <c r="H279" s="17"/>
      <c r="I279" s="23"/>
      <c r="J279" s="5"/>
      <c r="K279" s="5"/>
      <c r="L279" s="1"/>
      <c r="M279" s="1"/>
      <c r="O279" s="24"/>
      <c r="P279" s="24"/>
      <c r="Q279" s="24"/>
      <c r="T279" s="16"/>
      <c r="U279" s="16"/>
      <c r="V279" s="16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3:31" s="2" customFormat="1" ht="18" customHeight="1">
      <c r="C280" s="14"/>
      <c r="G280" s="15"/>
      <c r="H280" s="17"/>
      <c r="I280" s="23"/>
      <c r="J280" s="5"/>
      <c r="K280" s="5"/>
      <c r="L280" s="1"/>
      <c r="M280" s="1"/>
      <c r="O280" s="24"/>
      <c r="P280" s="24"/>
      <c r="Q280" s="24"/>
      <c r="T280" s="16"/>
      <c r="U280" s="16"/>
      <c r="V280" s="16"/>
      <c r="W280" s="15"/>
      <c r="X280" s="15"/>
      <c r="Y280" s="15"/>
      <c r="Z280" s="15"/>
      <c r="AA280" s="15"/>
      <c r="AB280" s="15"/>
      <c r="AC280" s="15"/>
      <c r="AD280" s="15"/>
      <c r="AE280" s="15"/>
    </row>
    <row r="281" spans="3:31" s="2" customFormat="1" ht="18" customHeight="1">
      <c r="C281" s="14"/>
      <c r="G281" s="15"/>
      <c r="H281" s="17"/>
      <c r="I281" s="23"/>
      <c r="J281" s="5"/>
      <c r="K281" s="5"/>
      <c r="L281" s="1"/>
      <c r="M281" s="1"/>
      <c r="O281" s="24"/>
      <c r="P281" s="24"/>
      <c r="Q281" s="24"/>
      <c r="T281" s="16"/>
      <c r="U281" s="16"/>
      <c r="V281" s="16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spans="3:31" s="2" customFormat="1" ht="18" customHeight="1">
      <c r="C282" s="14"/>
      <c r="G282" s="15"/>
      <c r="H282" s="17"/>
      <c r="I282" s="23"/>
      <c r="J282" s="5"/>
      <c r="K282" s="5"/>
      <c r="L282" s="1"/>
      <c r="M282" s="1"/>
      <c r="O282" s="24"/>
      <c r="P282" s="24"/>
      <c r="Q282" s="24"/>
      <c r="T282" s="16"/>
      <c r="U282" s="16"/>
      <c r="V282" s="16"/>
      <c r="W282" s="15"/>
      <c r="X282" s="15"/>
      <c r="Y282" s="15"/>
      <c r="Z282" s="15"/>
      <c r="AA282" s="15"/>
      <c r="AB282" s="15"/>
      <c r="AC282" s="15"/>
      <c r="AD282" s="15"/>
      <c r="AE282" s="15"/>
    </row>
    <row r="283" spans="3:31" s="2" customFormat="1" ht="18" customHeight="1">
      <c r="C283" s="14"/>
      <c r="G283" s="15"/>
      <c r="H283" s="17"/>
      <c r="I283" s="23"/>
      <c r="J283" s="5"/>
      <c r="K283" s="5"/>
      <c r="L283" s="1"/>
      <c r="M283" s="1"/>
      <c r="O283" s="24"/>
      <c r="P283" s="24"/>
      <c r="Q283" s="24"/>
      <c r="T283" s="16"/>
      <c r="U283" s="16"/>
      <c r="V283" s="16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spans="3:31" s="2" customFormat="1" ht="18" customHeight="1">
      <c r="C284" s="14"/>
      <c r="G284" s="15"/>
      <c r="H284" s="17"/>
      <c r="I284" s="23"/>
      <c r="J284" s="5"/>
      <c r="K284" s="5"/>
      <c r="L284" s="1"/>
      <c r="M284" s="1"/>
      <c r="O284" s="24"/>
      <c r="P284" s="24"/>
      <c r="Q284" s="24"/>
      <c r="T284" s="16"/>
      <c r="U284" s="16"/>
      <c r="V284" s="16"/>
      <c r="W284" s="15"/>
      <c r="X284" s="15"/>
      <c r="Y284" s="15"/>
      <c r="Z284" s="15"/>
      <c r="AA284" s="15"/>
      <c r="AB284" s="15"/>
      <c r="AC284" s="15"/>
      <c r="AD284" s="15"/>
      <c r="AE284" s="15"/>
    </row>
    <row r="285" spans="3:31" s="2" customFormat="1" ht="18" customHeight="1">
      <c r="C285" s="14"/>
      <c r="G285" s="15"/>
      <c r="H285" s="17"/>
      <c r="I285" s="23"/>
      <c r="J285" s="5"/>
      <c r="K285" s="5"/>
      <c r="L285" s="1"/>
      <c r="M285" s="1"/>
      <c r="O285" s="24"/>
      <c r="P285" s="24"/>
      <c r="Q285" s="24"/>
      <c r="T285" s="16"/>
      <c r="U285" s="16"/>
      <c r="V285" s="16"/>
      <c r="W285" s="15"/>
      <c r="X285" s="15"/>
      <c r="Y285" s="15"/>
      <c r="Z285" s="15"/>
      <c r="AA285" s="15"/>
      <c r="AB285" s="15"/>
      <c r="AC285" s="15"/>
      <c r="AD285" s="15"/>
      <c r="AE285" s="15"/>
    </row>
    <row r="286" spans="3:31" s="2" customFormat="1" ht="18" customHeight="1">
      <c r="C286" s="14"/>
      <c r="G286" s="15"/>
      <c r="H286" s="17"/>
      <c r="I286" s="23"/>
      <c r="J286" s="5"/>
      <c r="K286" s="5"/>
      <c r="L286" s="1"/>
      <c r="M286" s="1"/>
      <c r="O286" s="24"/>
      <c r="P286" s="24"/>
      <c r="Q286" s="24"/>
      <c r="T286" s="16"/>
      <c r="U286" s="16"/>
      <c r="V286" s="16"/>
      <c r="W286" s="15"/>
      <c r="X286" s="15"/>
      <c r="Y286" s="15"/>
      <c r="Z286" s="15"/>
      <c r="AA286" s="15"/>
      <c r="AB286" s="15"/>
      <c r="AC286" s="15"/>
      <c r="AD286" s="15"/>
      <c r="AE286" s="15"/>
    </row>
    <row r="287" spans="3:31" s="2" customFormat="1" ht="18" customHeight="1">
      <c r="C287" s="14"/>
      <c r="G287" s="15"/>
      <c r="H287" s="17"/>
      <c r="I287" s="23"/>
      <c r="J287" s="5"/>
      <c r="K287" s="5"/>
      <c r="L287" s="1"/>
      <c r="M287" s="1"/>
      <c r="O287" s="24"/>
      <c r="P287" s="24"/>
      <c r="Q287" s="24"/>
      <c r="T287" s="16"/>
      <c r="U287" s="16"/>
      <c r="V287" s="16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spans="3:31" s="2" customFormat="1" ht="18" customHeight="1">
      <c r="C288" s="14"/>
      <c r="G288" s="15"/>
      <c r="H288" s="17"/>
      <c r="I288" s="23"/>
      <c r="J288" s="5"/>
      <c r="K288" s="5"/>
      <c r="L288" s="1"/>
      <c r="M288" s="1"/>
      <c r="O288" s="24"/>
      <c r="P288" s="24"/>
      <c r="Q288" s="24"/>
      <c r="T288" s="16"/>
      <c r="U288" s="16"/>
      <c r="V288" s="16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spans="3:31" s="2" customFormat="1" ht="18" customHeight="1">
      <c r="C289" s="14"/>
      <c r="G289" s="15"/>
      <c r="H289" s="17"/>
      <c r="I289" s="23"/>
      <c r="J289" s="5"/>
      <c r="K289" s="5"/>
      <c r="L289" s="1"/>
      <c r="M289" s="1"/>
      <c r="O289" s="24"/>
      <c r="P289" s="24"/>
      <c r="Q289" s="24"/>
      <c r="T289" s="16"/>
      <c r="U289" s="16"/>
      <c r="V289" s="16"/>
      <c r="W289" s="15"/>
      <c r="X289" s="15"/>
      <c r="Y289" s="15"/>
      <c r="Z289" s="15"/>
      <c r="AA289" s="15"/>
      <c r="AB289" s="15"/>
      <c r="AC289" s="15"/>
      <c r="AD289" s="15"/>
      <c r="AE289" s="15"/>
    </row>
    <row r="290" spans="3:31" s="2" customFormat="1" ht="18" customHeight="1">
      <c r="C290" s="14"/>
      <c r="G290" s="15"/>
      <c r="H290" s="17"/>
      <c r="I290" s="23"/>
      <c r="J290" s="5"/>
      <c r="K290" s="5"/>
      <c r="L290" s="1"/>
      <c r="M290" s="1"/>
      <c r="O290" s="24"/>
      <c r="P290" s="24"/>
      <c r="Q290" s="24"/>
      <c r="T290" s="16"/>
      <c r="U290" s="16"/>
      <c r="V290" s="16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spans="3:31" s="2" customFormat="1" ht="18" customHeight="1">
      <c r="C291" s="14"/>
      <c r="G291" s="15"/>
      <c r="H291" s="17"/>
      <c r="I291" s="23"/>
      <c r="J291" s="5"/>
      <c r="K291" s="5"/>
      <c r="L291" s="1"/>
      <c r="M291" s="1"/>
      <c r="O291" s="24"/>
      <c r="P291" s="24"/>
      <c r="Q291" s="24"/>
      <c r="T291" s="16"/>
      <c r="U291" s="16"/>
      <c r="V291" s="16"/>
      <c r="W291" s="15"/>
      <c r="X291" s="15"/>
      <c r="Y291" s="15"/>
      <c r="Z291" s="15"/>
      <c r="AA291" s="15"/>
      <c r="AB291" s="15"/>
      <c r="AC291" s="15"/>
      <c r="AD291" s="15"/>
      <c r="AE291" s="15"/>
    </row>
    <row r="292" spans="3:31" s="2" customFormat="1" ht="18" customHeight="1">
      <c r="C292" s="14"/>
      <c r="G292" s="15"/>
      <c r="H292" s="17"/>
      <c r="I292" s="23"/>
      <c r="J292" s="5"/>
      <c r="K292" s="5"/>
      <c r="L292" s="1"/>
      <c r="M292" s="1"/>
      <c r="O292" s="24"/>
      <c r="P292" s="24"/>
      <c r="Q292" s="24"/>
      <c r="T292" s="16"/>
      <c r="U292" s="16"/>
      <c r="V292" s="16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spans="3:31" s="2" customFormat="1" ht="18" customHeight="1">
      <c r="C293" s="14"/>
      <c r="G293" s="15"/>
      <c r="H293" s="17"/>
      <c r="I293" s="23"/>
      <c r="J293" s="5"/>
      <c r="K293" s="5"/>
      <c r="L293" s="1"/>
      <c r="M293" s="1"/>
      <c r="O293" s="24"/>
      <c r="P293" s="24"/>
      <c r="Q293" s="24"/>
      <c r="T293" s="16"/>
      <c r="U293" s="16"/>
      <c r="V293" s="16"/>
      <c r="W293" s="15"/>
      <c r="X293" s="15"/>
      <c r="Y293" s="15"/>
      <c r="Z293" s="15"/>
      <c r="AA293" s="15"/>
      <c r="AB293" s="15"/>
      <c r="AC293" s="15"/>
      <c r="AD293" s="15"/>
      <c r="AE293" s="15"/>
    </row>
    <row r="294" spans="3:31" s="2" customFormat="1" ht="18" customHeight="1">
      <c r="C294" s="14"/>
      <c r="G294" s="15"/>
      <c r="H294" s="17"/>
      <c r="I294" s="23"/>
      <c r="J294" s="5"/>
      <c r="K294" s="5"/>
      <c r="L294" s="1"/>
      <c r="M294" s="1"/>
      <c r="O294" s="24"/>
      <c r="P294" s="24"/>
      <c r="Q294" s="24"/>
      <c r="T294" s="16"/>
      <c r="U294" s="16"/>
      <c r="V294" s="16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spans="3:31" s="2" customFormat="1" ht="18" customHeight="1">
      <c r="C295" s="14"/>
      <c r="G295" s="15"/>
      <c r="H295" s="17"/>
      <c r="I295" s="23"/>
      <c r="J295" s="5"/>
      <c r="K295" s="5"/>
      <c r="L295" s="1"/>
      <c r="M295" s="1"/>
      <c r="O295" s="24"/>
      <c r="P295" s="24"/>
      <c r="Q295" s="24"/>
      <c r="T295" s="16"/>
      <c r="U295" s="16"/>
      <c r="V295" s="16"/>
      <c r="W295" s="15"/>
      <c r="X295" s="15"/>
      <c r="Y295" s="15"/>
      <c r="Z295" s="15"/>
      <c r="AA295" s="15"/>
      <c r="AB295" s="15"/>
      <c r="AC295" s="15"/>
      <c r="AD295" s="15"/>
      <c r="AE295" s="15"/>
    </row>
    <row r="296" spans="3:31" s="2" customFormat="1" ht="18" customHeight="1">
      <c r="C296" s="14"/>
      <c r="G296" s="15"/>
      <c r="H296" s="17"/>
      <c r="I296" s="23"/>
      <c r="J296" s="5"/>
      <c r="K296" s="5"/>
      <c r="L296" s="1"/>
      <c r="M296" s="1"/>
      <c r="O296" s="24"/>
      <c r="P296" s="24"/>
      <c r="Q296" s="24"/>
      <c r="T296" s="16"/>
      <c r="U296" s="16"/>
      <c r="V296" s="16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spans="3:31" s="2" customFormat="1" ht="18" customHeight="1">
      <c r="C297" s="14"/>
      <c r="G297" s="15"/>
      <c r="H297" s="17"/>
      <c r="I297" s="23"/>
      <c r="J297" s="5"/>
      <c r="K297" s="5"/>
      <c r="L297" s="1"/>
      <c r="M297" s="1"/>
      <c r="O297" s="24"/>
      <c r="P297" s="24"/>
      <c r="Q297" s="24"/>
      <c r="T297" s="16"/>
      <c r="U297" s="16"/>
      <c r="V297" s="16"/>
      <c r="W297" s="15"/>
      <c r="X297" s="15"/>
      <c r="Y297" s="15"/>
      <c r="Z297" s="15"/>
      <c r="AA297" s="15"/>
      <c r="AB297" s="15"/>
      <c r="AC297" s="15"/>
      <c r="AD297" s="15"/>
      <c r="AE297" s="15"/>
    </row>
    <row r="298" spans="3:31" s="2" customFormat="1" ht="18" customHeight="1">
      <c r="C298" s="14"/>
      <c r="G298" s="15"/>
      <c r="H298" s="17"/>
      <c r="I298" s="23"/>
      <c r="J298" s="5"/>
      <c r="K298" s="5"/>
      <c r="L298" s="1"/>
      <c r="M298" s="1"/>
      <c r="O298" s="24"/>
      <c r="P298" s="24"/>
      <c r="Q298" s="24"/>
      <c r="T298" s="16"/>
      <c r="U298" s="16"/>
      <c r="V298" s="16"/>
      <c r="W298" s="15"/>
      <c r="X298" s="15"/>
      <c r="Y298" s="15"/>
      <c r="Z298" s="15"/>
      <c r="AA298" s="15"/>
      <c r="AB298" s="15"/>
      <c r="AC298" s="15"/>
      <c r="AD298" s="15"/>
      <c r="AE298" s="15"/>
    </row>
    <row r="299" spans="3:31" s="2" customFormat="1" ht="18" customHeight="1">
      <c r="C299" s="14"/>
      <c r="G299" s="15"/>
      <c r="H299" s="17"/>
      <c r="I299" s="23"/>
      <c r="J299" s="5"/>
      <c r="K299" s="5"/>
      <c r="L299" s="1"/>
      <c r="M299" s="1"/>
      <c r="O299" s="24"/>
      <c r="P299" s="24"/>
      <c r="Q299" s="24"/>
      <c r="T299" s="16"/>
      <c r="U299" s="16"/>
      <c r="V299" s="16"/>
      <c r="W299" s="15"/>
      <c r="X299" s="15"/>
      <c r="Y299" s="15"/>
      <c r="Z299" s="15"/>
      <c r="AA299" s="15"/>
      <c r="AB299" s="15"/>
      <c r="AC299" s="15"/>
      <c r="AD299" s="15"/>
      <c r="AE299" s="15"/>
    </row>
    <row r="300" spans="3:31" s="2" customFormat="1" ht="18" customHeight="1">
      <c r="C300" s="14"/>
      <c r="G300" s="15"/>
      <c r="H300" s="17"/>
      <c r="I300" s="23"/>
      <c r="J300" s="5"/>
      <c r="K300" s="5"/>
      <c r="L300" s="1"/>
      <c r="M300" s="1"/>
      <c r="O300" s="24"/>
      <c r="P300" s="24"/>
      <c r="Q300" s="24"/>
      <c r="T300" s="16"/>
      <c r="U300" s="16"/>
      <c r="V300" s="16"/>
      <c r="W300" s="15"/>
      <c r="X300" s="15"/>
      <c r="Y300" s="15"/>
      <c r="Z300" s="15"/>
      <c r="AA300" s="15"/>
      <c r="AB300" s="15"/>
      <c r="AC300" s="15"/>
      <c r="AD300" s="15"/>
      <c r="AE300" s="15"/>
    </row>
    <row r="301" spans="3:31" s="2" customFormat="1" ht="18" customHeight="1">
      <c r="C301" s="14"/>
      <c r="G301" s="15"/>
      <c r="H301" s="17"/>
      <c r="I301" s="23"/>
      <c r="J301" s="5"/>
      <c r="K301" s="5"/>
      <c r="L301" s="1"/>
      <c r="M301" s="1"/>
      <c r="O301" s="24"/>
      <c r="P301" s="24"/>
      <c r="Q301" s="24"/>
      <c r="T301" s="16"/>
      <c r="U301" s="16"/>
      <c r="V301" s="16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spans="3:31" s="2" customFormat="1" ht="18" customHeight="1">
      <c r="C302" s="14"/>
      <c r="G302" s="15"/>
      <c r="H302" s="17"/>
      <c r="I302" s="23"/>
      <c r="J302" s="5"/>
      <c r="K302" s="5"/>
      <c r="L302" s="1"/>
      <c r="M302" s="1"/>
      <c r="O302" s="24"/>
      <c r="P302" s="24"/>
      <c r="Q302" s="24"/>
      <c r="T302" s="16"/>
      <c r="U302" s="16"/>
      <c r="V302" s="16"/>
      <c r="W302" s="15"/>
      <c r="X302" s="15"/>
      <c r="Y302" s="15"/>
      <c r="Z302" s="15"/>
      <c r="AA302" s="15"/>
      <c r="AB302" s="15"/>
      <c r="AC302" s="15"/>
      <c r="AD302" s="15"/>
      <c r="AE302" s="15"/>
    </row>
    <row r="303" spans="3:31" s="2" customFormat="1" ht="18" customHeight="1">
      <c r="C303" s="14"/>
      <c r="G303" s="15"/>
      <c r="H303" s="17"/>
      <c r="I303" s="23"/>
      <c r="J303" s="5"/>
      <c r="K303" s="5"/>
      <c r="L303" s="1"/>
      <c r="M303" s="1"/>
      <c r="O303" s="24"/>
      <c r="P303" s="24"/>
      <c r="Q303" s="24"/>
      <c r="T303" s="16"/>
      <c r="U303" s="16"/>
      <c r="V303" s="16"/>
      <c r="W303" s="15"/>
      <c r="X303" s="15"/>
      <c r="Y303" s="15"/>
      <c r="Z303" s="15"/>
      <c r="AA303" s="15"/>
      <c r="AB303" s="15"/>
      <c r="AC303" s="15"/>
      <c r="AD303" s="15"/>
      <c r="AE303" s="15"/>
    </row>
    <row r="304" spans="3:31" s="2" customFormat="1" ht="18" customHeight="1">
      <c r="C304" s="14"/>
      <c r="G304" s="15"/>
      <c r="H304" s="17"/>
      <c r="I304" s="23"/>
      <c r="J304" s="5"/>
      <c r="K304" s="5"/>
      <c r="L304" s="1"/>
      <c r="M304" s="1"/>
      <c r="O304" s="24"/>
      <c r="P304" s="24"/>
      <c r="Q304" s="24"/>
      <c r="T304" s="16"/>
      <c r="U304" s="16"/>
      <c r="V304" s="16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spans="3:31" s="2" customFormat="1" ht="18" customHeight="1">
      <c r="C305" s="14"/>
      <c r="G305" s="15"/>
      <c r="H305" s="17"/>
      <c r="I305" s="23"/>
      <c r="J305" s="5"/>
      <c r="K305" s="5"/>
      <c r="L305" s="1"/>
      <c r="M305" s="1"/>
      <c r="O305" s="24"/>
      <c r="P305" s="24"/>
      <c r="Q305" s="24"/>
      <c r="T305" s="16"/>
      <c r="U305" s="16"/>
      <c r="V305" s="16"/>
      <c r="W305" s="15"/>
      <c r="X305" s="15"/>
      <c r="Y305" s="15"/>
      <c r="Z305" s="15"/>
      <c r="AA305" s="15"/>
      <c r="AB305" s="15"/>
      <c r="AC305" s="15"/>
      <c r="AD305" s="15"/>
      <c r="AE305" s="15"/>
    </row>
    <row r="306" spans="3:31" s="2" customFormat="1" ht="18" customHeight="1">
      <c r="C306" s="14"/>
      <c r="G306" s="15"/>
      <c r="H306" s="17"/>
      <c r="I306" s="23"/>
      <c r="J306" s="5"/>
      <c r="K306" s="5"/>
      <c r="L306" s="1"/>
      <c r="M306" s="1"/>
      <c r="O306" s="24"/>
      <c r="P306" s="24"/>
      <c r="Q306" s="24"/>
      <c r="T306" s="16"/>
      <c r="U306" s="16"/>
      <c r="V306" s="16"/>
      <c r="W306" s="15"/>
      <c r="X306" s="15"/>
      <c r="Y306" s="15"/>
      <c r="Z306" s="15"/>
      <c r="AA306" s="15"/>
      <c r="AB306" s="15"/>
      <c r="AC306" s="15"/>
      <c r="AD306" s="15"/>
      <c r="AE306" s="15"/>
    </row>
    <row r="307" spans="3:31" s="2" customFormat="1" ht="18" customHeight="1">
      <c r="C307" s="14"/>
      <c r="G307" s="15"/>
      <c r="H307" s="17"/>
      <c r="I307" s="23"/>
      <c r="J307" s="5"/>
      <c r="K307" s="5"/>
      <c r="L307" s="1"/>
      <c r="M307" s="1"/>
      <c r="O307" s="24"/>
      <c r="P307" s="24"/>
      <c r="Q307" s="24"/>
      <c r="T307" s="16"/>
      <c r="U307" s="16"/>
      <c r="V307" s="16"/>
      <c r="W307" s="15"/>
      <c r="X307" s="15"/>
      <c r="Y307" s="15"/>
      <c r="Z307" s="15"/>
      <c r="AA307" s="15"/>
      <c r="AB307" s="15"/>
      <c r="AC307" s="15"/>
      <c r="AD307" s="15"/>
      <c r="AE307" s="15"/>
    </row>
    <row r="308" spans="3:31" s="2" customFormat="1" ht="18" customHeight="1">
      <c r="C308" s="14"/>
      <c r="G308" s="15"/>
      <c r="H308" s="17"/>
      <c r="I308" s="23"/>
      <c r="J308" s="5"/>
      <c r="K308" s="5"/>
      <c r="L308" s="1"/>
      <c r="M308" s="1"/>
      <c r="O308" s="24"/>
      <c r="P308" s="24"/>
      <c r="Q308" s="24"/>
      <c r="T308" s="16"/>
      <c r="U308" s="16"/>
      <c r="V308" s="16"/>
      <c r="W308" s="15"/>
      <c r="X308" s="15"/>
      <c r="Y308" s="15"/>
      <c r="Z308" s="15"/>
      <c r="AA308" s="15"/>
      <c r="AB308" s="15"/>
      <c r="AC308" s="15"/>
      <c r="AD308" s="15"/>
      <c r="AE308" s="15"/>
    </row>
    <row r="309" spans="3:31" s="2" customFormat="1" ht="18" customHeight="1">
      <c r="C309" s="14"/>
      <c r="G309" s="15"/>
      <c r="H309" s="17"/>
      <c r="I309" s="23"/>
      <c r="J309" s="5"/>
      <c r="K309" s="5"/>
      <c r="L309" s="1"/>
      <c r="M309" s="1"/>
      <c r="O309" s="24"/>
      <c r="P309" s="24"/>
      <c r="Q309" s="24"/>
      <c r="T309" s="16"/>
      <c r="U309" s="16"/>
      <c r="V309" s="16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spans="3:31" s="2" customFormat="1" ht="18" customHeight="1">
      <c r="C310" s="14"/>
      <c r="G310" s="15"/>
      <c r="H310" s="17"/>
      <c r="I310" s="23"/>
      <c r="J310" s="5"/>
      <c r="K310" s="5"/>
      <c r="L310" s="1"/>
      <c r="M310" s="1"/>
      <c r="O310" s="24"/>
      <c r="P310" s="24"/>
      <c r="Q310" s="24"/>
      <c r="T310" s="16"/>
      <c r="U310" s="16"/>
      <c r="V310" s="16"/>
      <c r="W310" s="15"/>
      <c r="X310" s="15"/>
      <c r="Y310" s="15"/>
      <c r="Z310" s="15"/>
      <c r="AA310" s="15"/>
      <c r="AB310" s="15"/>
      <c r="AC310" s="15"/>
      <c r="AD310" s="15"/>
      <c r="AE310" s="15"/>
    </row>
    <row r="311" spans="3:31" s="2" customFormat="1" ht="18" customHeight="1">
      <c r="C311" s="14"/>
      <c r="G311" s="15"/>
      <c r="H311" s="17"/>
      <c r="I311" s="23"/>
      <c r="J311" s="5"/>
      <c r="K311" s="5"/>
      <c r="L311" s="1"/>
      <c r="M311" s="1"/>
      <c r="O311" s="24"/>
      <c r="P311" s="24"/>
      <c r="Q311" s="24"/>
      <c r="T311" s="16"/>
      <c r="U311" s="16"/>
      <c r="V311" s="16"/>
      <c r="W311" s="15"/>
      <c r="X311" s="15"/>
      <c r="Y311" s="15"/>
      <c r="Z311" s="15"/>
      <c r="AA311" s="15"/>
      <c r="AB311" s="15"/>
      <c r="AC311" s="15"/>
      <c r="AD311" s="15"/>
      <c r="AE311" s="15"/>
    </row>
    <row r="312" spans="3:31" s="2" customFormat="1" ht="18" customHeight="1">
      <c r="C312" s="14"/>
      <c r="G312" s="15"/>
      <c r="H312" s="17"/>
      <c r="I312" s="23"/>
      <c r="J312" s="5"/>
      <c r="K312" s="5"/>
      <c r="L312" s="1"/>
      <c r="M312" s="1"/>
      <c r="O312" s="24"/>
      <c r="P312" s="24"/>
      <c r="Q312" s="24"/>
      <c r="T312" s="16"/>
      <c r="U312" s="16"/>
      <c r="V312" s="16"/>
      <c r="W312" s="15"/>
      <c r="X312" s="15"/>
      <c r="Y312" s="15"/>
      <c r="Z312" s="15"/>
      <c r="AA312" s="15"/>
      <c r="AB312" s="15"/>
      <c r="AC312" s="15"/>
      <c r="AD312" s="15"/>
      <c r="AE312" s="15"/>
    </row>
    <row r="313" spans="3:31" s="2" customFormat="1" ht="18" customHeight="1">
      <c r="C313" s="14"/>
      <c r="G313" s="15"/>
      <c r="H313" s="17"/>
      <c r="I313" s="23"/>
      <c r="J313" s="5"/>
      <c r="K313" s="5"/>
      <c r="L313" s="1"/>
      <c r="M313" s="1"/>
      <c r="O313" s="24"/>
      <c r="P313" s="24"/>
      <c r="Q313" s="24"/>
      <c r="T313" s="16"/>
      <c r="U313" s="16"/>
      <c r="V313" s="16"/>
      <c r="W313" s="15"/>
      <c r="X313" s="15"/>
      <c r="Y313" s="15"/>
      <c r="Z313" s="15"/>
      <c r="AA313" s="15"/>
      <c r="AB313" s="15"/>
      <c r="AC313" s="15"/>
      <c r="AD313" s="15"/>
      <c r="AE313" s="15"/>
    </row>
    <row r="314" spans="3:31" s="2" customFormat="1" ht="18" customHeight="1">
      <c r="C314" s="14"/>
      <c r="G314" s="15"/>
      <c r="H314" s="17"/>
      <c r="I314" s="23"/>
      <c r="J314" s="5"/>
      <c r="K314" s="5"/>
      <c r="L314" s="1"/>
      <c r="M314" s="1"/>
      <c r="O314" s="24"/>
      <c r="P314" s="24"/>
      <c r="Q314" s="24"/>
      <c r="T314" s="16"/>
      <c r="U314" s="16"/>
      <c r="V314" s="16"/>
      <c r="W314" s="15"/>
      <c r="X314" s="15"/>
      <c r="Y314" s="15"/>
      <c r="Z314" s="15"/>
      <c r="AA314" s="15"/>
      <c r="AB314" s="15"/>
      <c r="AC314" s="15"/>
      <c r="AD314" s="15"/>
      <c r="AE314" s="15"/>
    </row>
    <row r="315" spans="3:31" s="2" customFormat="1" ht="18" customHeight="1">
      <c r="C315" s="14"/>
      <c r="G315" s="15"/>
      <c r="H315" s="17"/>
      <c r="I315" s="23"/>
      <c r="J315" s="5"/>
      <c r="K315" s="5"/>
      <c r="L315" s="1"/>
      <c r="M315" s="1"/>
      <c r="O315" s="24"/>
      <c r="P315" s="24"/>
      <c r="Q315" s="24"/>
      <c r="T315" s="16"/>
      <c r="U315" s="16"/>
      <c r="V315" s="16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spans="3:31" s="2" customFormat="1" ht="18" customHeight="1">
      <c r="C316" s="14"/>
      <c r="G316" s="15"/>
      <c r="H316" s="17"/>
      <c r="I316" s="23"/>
      <c r="J316" s="5"/>
      <c r="K316" s="5"/>
      <c r="L316" s="1"/>
      <c r="M316" s="1"/>
      <c r="O316" s="24"/>
      <c r="P316" s="24"/>
      <c r="Q316" s="24"/>
      <c r="T316" s="16"/>
      <c r="U316" s="16"/>
      <c r="V316" s="16"/>
      <c r="W316" s="15"/>
      <c r="X316" s="15"/>
      <c r="Y316" s="15"/>
      <c r="Z316" s="15"/>
      <c r="AA316" s="15"/>
      <c r="AB316" s="15"/>
      <c r="AC316" s="15"/>
      <c r="AD316" s="15"/>
      <c r="AE316" s="15"/>
    </row>
    <row r="317" spans="3:31" s="2" customFormat="1" ht="18" customHeight="1">
      <c r="C317" s="14"/>
      <c r="G317" s="15"/>
      <c r="H317" s="17"/>
      <c r="I317" s="23"/>
      <c r="J317" s="5"/>
      <c r="K317" s="5"/>
      <c r="L317" s="1"/>
      <c r="M317" s="1"/>
      <c r="O317" s="24"/>
      <c r="P317" s="24"/>
      <c r="Q317" s="24"/>
      <c r="T317" s="16"/>
      <c r="U317" s="16"/>
      <c r="V317" s="16"/>
      <c r="W317" s="15"/>
      <c r="X317" s="15"/>
      <c r="Y317" s="15"/>
      <c r="Z317" s="15"/>
      <c r="AA317" s="15"/>
      <c r="AB317" s="15"/>
      <c r="AC317" s="15"/>
      <c r="AD317" s="15"/>
      <c r="AE317" s="15"/>
    </row>
    <row r="318" spans="3:31" s="2" customFormat="1" ht="18" customHeight="1">
      <c r="C318" s="14"/>
      <c r="G318" s="15"/>
      <c r="H318" s="17"/>
      <c r="I318" s="23"/>
      <c r="J318" s="5"/>
      <c r="K318" s="5"/>
      <c r="L318" s="1"/>
      <c r="M318" s="1"/>
      <c r="O318" s="24"/>
      <c r="P318" s="24"/>
      <c r="Q318" s="24"/>
      <c r="T318" s="16"/>
      <c r="U318" s="16"/>
      <c r="V318" s="16"/>
      <c r="W318" s="15"/>
      <c r="X318" s="15"/>
      <c r="Y318" s="15"/>
      <c r="Z318" s="15"/>
      <c r="AA318" s="15"/>
      <c r="AB318" s="15"/>
      <c r="AC318" s="15"/>
      <c r="AD318" s="15"/>
      <c r="AE318" s="15"/>
    </row>
    <row r="319" spans="3:31" s="2" customFormat="1" ht="18" customHeight="1">
      <c r="C319" s="14"/>
      <c r="G319" s="15"/>
      <c r="H319" s="17"/>
      <c r="I319" s="23"/>
      <c r="J319" s="5"/>
      <c r="K319" s="5"/>
      <c r="L319" s="1"/>
      <c r="M319" s="1"/>
      <c r="O319" s="24"/>
      <c r="P319" s="24"/>
      <c r="Q319" s="24"/>
      <c r="T319" s="16"/>
      <c r="U319" s="16"/>
      <c r="V319" s="16"/>
      <c r="W319" s="15"/>
      <c r="X319" s="15"/>
      <c r="Y319" s="15"/>
      <c r="Z319" s="15"/>
      <c r="AA319" s="15"/>
      <c r="AB319" s="15"/>
      <c r="AC319" s="15"/>
      <c r="AD319" s="15"/>
      <c r="AE319" s="15"/>
    </row>
    <row r="320" spans="3:31" s="2" customFormat="1" ht="18" customHeight="1">
      <c r="C320" s="14"/>
      <c r="G320" s="15"/>
      <c r="H320" s="17"/>
      <c r="I320" s="23"/>
      <c r="J320" s="5"/>
      <c r="K320" s="5"/>
      <c r="L320" s="1"/>
      <c r="M320" s="1"/>
      <c r="O320" s="24"/>
      <c r="P320" s="24"/>
      <c r="Q320" s="24"/>
      <c r="T320" s="16"/>
      <c r="U320" s="16"/>
      <c r="V320" s="16"/>
      <c r="W320" s="15"/>
      <c r="X320" s="15"/>
      <c r="Y320" s="15"/>
      <c r="Z320" s="15"/>
      <c r="AA320" s="15"/>
      <c r="AB320" s="15"/>
      <c r="AC320" s="15"/>
      <c r="AD320" s="15"/>
      <c r="AE320" s="15"/>
    </row>
    <row r="321" spans="3:31" s="2" customFormat="1" ht="18" customHeight="1">
      <c r="C321" s="14"/>
      <c r="G321" s="15"/>
      <c r="H321" s="17"/>
      <c r="I321" s="23"/>
      <c r="J321" s="5"/>
      <c r="K321" s="5"/>
      <c r="L321" s="1"/>
      <c r="M321" s="1"/>
      <c r="O321" s="24"/>
      <c r="P321" s="24"/>
      <c r="Q321" s="24"/>
      <c r="T321" s="16"/>
      <c r="U321" s="16"/>
      <c r="V321" s="16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spans="3:31" s="2" customFormat="1" ht="18" customHeight="1">
      <c r="C322" s="14"/>
      <c r="G322" s="15"/>
      <c r="H322" s="17"/>
      <c r="I322" s="23"/>
      <c r="J322" s="5"/>
      <c r="K322" s="5"/>
      <c r="L322" s="1"/>
      <c r="M322" s="1"/>
      <c r="O322" s="24"/>
      <c r="P322" s="24"/>
      <c r="Q322" s="24"/>
      <c r="T322" s="16"/>
      <c r="U322" s="16"/>
      <c r="V322" s="16"/>
      <c r="W322" s="15"/>
      <c r="X322" s="15"/>
      <c r="Y322" s="15"/>
      <c r="Z322" s="15"/>
      <c r="AA322" s="15"/>
      <c r="AB322" s="15"/>
      <c r="AC322" s="15"/>
      <c r="AD322" s="15"/>
      <c r="AE322" s="15"/>
    </row>
    <row r="323" spans="3:31" s="2" customFormat="1" ht="18" customHeight="1">
      <c r="C323" s="14"/>
      <c r="G323" s="15"/>
      <c r="H323" s="17"/>
      <c r="I323" s="23"/>
      <c r="J323" s="5"/>
      <c r="K323" s="5"/>
      <c r="L323" s="1"/>
      <c r="M323" s="1"/>
      <c r="O323" s="24"/>
      <c r="P323" s="24"/>
      <c r="Q323" s="24"/>
      <c r="T323" s="16"/>
      <c r="U323" s="16"/>
      <c r="V323" s="16"/>
      <c r="W323" s="15"/>
      <c r="X323" s="15"/>
      <c r="Y323" s="15"/>
      <c r="Z323" s="15"/>
      <c r="AA323" s="15"/>
      <c r="AB323" s="15"/>
      <c r="AC323" s="15"/>
      <c r="AD323" s="15"/>
      <c r="AE323" s="15"/>
    </row>
    <row r="324" spans="3:31" s="2" customFormat="1" ht="18" customHeight="1">
      <c r="C324" s="14"/>
      <c r="G324" s="15"/>
      <c r="H324" s="17"/>
      <c r="I324" s="23"/>
      <c r="J324" s="5"/>
      <c r="K324" s="5"/>
      <c r="L324" s="1"/>
      <c r="M324" s="1"/>
      <c r="O324" s="24"/>
      <c r="P324" s="24"/>
      <c r="Q324" s="24"/>
      <c r="T324" s="16"/>
      <c r="U324" s="16"/>
      <c r="V324" s="16"/>
      <c r="W324" s="15"/>
      <c r="X324" s="15"/>
      <c r="Y324" s="15"/>
      <c r="Z324" s="15"/>
      <c r="AA324" s="15"/>
      <c r="AB324" s="15"/>
      <c r="AC324" s="15"/>
      <c r="AD324" s="15"/>
      <c r="AE324" s="15"/>
    </row>
    <row r="325" spans="3:31" s="2" customFormat="1" ht="18" customHeight="1">
      <c r="C325" s="14"/>
      <c r="G325" s="15"/>
      <c r="H325" s="17"/>
      <c r="I325" s="23"/>
      <c r="J325" s="5"/>
      <c r="K325" s="5"/>
      <c r="L325" s="1"/>
      <c r="M325" s="1"/>
      <c r="O325" s="24"/>
      <c r="P325" s="24"/>
      <c r="Q325" s="24"/>
      <c r="T325" s="16"/>
      <c r="U325" s="16"/>
      <c r="V325" s="16"/>
      <c r="W325" s="15"/>
      <c r="X325" s="15"/>
      <c r="Y325" s="15"/>
      <c r="Z325" s="15"/>
      <c r="AA325" s="15"/>
      <c r="AB325" s="15"/>
      <c r="AC325" s="15"/>
      <c r="AD325" s="15"/>
      <c r="AE325" s="15"/>
    </row>
    <row r="326" spans="3:31" s="2" customFormat="1" ht="18" customHeight="1">
      <c r="C326" s="14"/>
      <c r="G326" s="15"/>
      <c r="H326" s="17"/>
      <c r="I326" s="23"/>
      <c r="J326" s="5"/>
      <c r="K326" s="5"/>
      <c r="L326" s="1"/>
      <c r="M326" s="1"/>
      <c r="O326" s="24"/>
      <c r="P326" s="24"/>
      <c r="Q326" s="24"/>
      <c r="T326" s="16"/>
      <c r="U326" s="16"/>
      <c r="V326" s="16"/>
      <c r="W326" s="15"/>
      <c r="X326" s="15"/>
      <c r="Y326" s="15"/>
      <c r="Z326" s="15"/>
      <c r="AA326" s="15"/>
      <c r="AB326" s="15"/>
      <c r="AC326" s="15"/>
      <c r="AD326" s="15"/>
      <c r="AE326" s="15"/>
    </row>
    <row r="327" spans="3:31" s="2" customFormat="1" ht="18" customHeight="1">
      <c r="C327" s="14"/>
      <c r="G327" s="15"/>
      <c r="H327" s="17"/>
      <c r="I327" s="23"/>
      <c r="J327" s="5"/>
      <c r="K327" s="5"/>
      <c r="L327" s="1"/>
      <c r="M327" s="1"/>
      <c r="O327" s="24"/>
      <c r="P327" s="24"/>
      <c r="Q327" s="24"/>
      <c r="T327" s="16"/>
      <c r="U327" s="16"/>
      <c r="V327" s="16"/>
      <c r="W327" s="15"/>
      <c r="X327" s="15"/>
      <c r="Y327" s="15"/>
      <c r="Z327" s="15"/>
      <c r="AA327" s="15"/>
      <c r="AB327" s="15"/>
      <c r="AC327" s="15"/>
      <c r="AD327" s="15"/>
      <c r="AE327" s="15"/>
    </row>
    <row r="328" spans="3:31" s="2" customFormat="1" ht="18" customHeight="1">
      <c r="C328" s="14"/>
      <c r="G328" s="15"/>
      <c r="H328" s="17"/>
      <c r="I328" s="23"/>
      <c r="J328" s="5"/>
      <c r="K328" s="5"/>
      <c r="L328" s="1"/>
      <c r="M328" s="1"/>
      <c r="O328" s="24"/>
      <c r="P328" s="24"/>
      <c r="Q328" s="24"/>
      <c r="T328" s="16"/>
      <c r="U328" s="16"/>
      <c r="V328" s="16"/>
      <c r="W328" s="15"/>
      <c r="X328" s="15"/>
      <c r="Y328" s="15"/>
      <c r="Z328" s="15"/>
      <c r="AA328" s="15"/>
      <c r="AB328" s="15"/>
      <c r="AC328" s="15"/>
      <c r="AD328" s="15"/>
      <c r="AE328" s="15"/>
    </row>
    <row r="329" spans="3:31" s="2" customFormat="1" ht="18" customHeight="1">
      <c r="C329" s="14"/>
      <c r="G329" s="15"/>
      <c r="H329" s="17"/>
      <c r="I329" s="23"/>
      <c r="J329" s="5"/>
      <c r="K329" s="5"/>
      <c r="L329" s="1"/>
      <c r="M329" s="1"/>
      <c r="O329" s="24"/>
      <c r="P329" s="24"/>
      <c r="Q329" s="24"/>
      <c r="T329" s="16"/>
      <c r="U329" s="16"/>
      <c r="V329" s="16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spans="3:31" s="2" customFormat="1" ht="18" customHeight="1">
      <c r="C330" s="14"/>
      <c r="G330" s="15"/>
      <c r="H330" s="17"/>
      <c r="I330" s="23"/>
      <c r="J330" s="5"/>
      <c r="K330" s="5"/>
      <c r="L330" s="1"/>
      <c r="M330" s="1"/>
      <c r="O330" s="24"/>
      <c r="P330" s="24"/>
      <c r="Q330" s="24"/>
      <c r="T330" s="16"/>
      <c r="U330" s="16"/>
      <c r="V330" s="16"/>
      <c r="W330" s="15"/>
      <c r="X330" s="15"/>
      <c r="Y330" s="15"/>
      <c r="Z330" s="15"/>
      <c r="AA330" s="15"/>
      <c r="AB330" s="15"/>
      <c r="AC330" s="15"/>
      <c r="AD330" s="15"/>
      <c r="AE330" s="15"/>
    </row>
    <row r="331" spans="3:31" s="2" customFormat="1" ht="18" customHeight="1">
      <c r="C331" s="14"/>
      <c r="G331" s="15"/>
      <c r="H331" s="17"/>
      <c r="I331" s="23"/>
      <c r="J331" s="5"/>
      <c r="K331" s="5"/>
      <c r="L331" s="1"/>
      <c r="M331" s="1"/>
      <c r="O331" s="24"/>
      <c r="P331" s="24"/>
      <c r="Q331" s="24"/>
      <c r="T331" s="16"/>
      <c r="U331" s="16"/>
      <c r="V331" s="16"/>
      <c r="W331" s="15"/>
      <c r="X331" s="15"/>
      <c r="Y331" s="15"/>
      <c r="Z331" s="15"/>
      <c r="AA331" s="15"/>
      <c r="AB331" s="15"/>
      <c r="AC331" s="15"/>
      <c r="AD331" s="15"/>
      <c r="AE331" s="15"/>
    </row>
    <row r="332" spans="3:31" s="2" customFormat="1" ht="18" customHeight="1">
      <c r="C332" s="14"/>
      <c r="G332" s="15"/>
      <c r="H332" s="17"/>
      <c r="I332" s="23"/>
      <c r="J332" s="5"/>
      <c r="K332" s="5"/>
      <c r="L332" s="1"/>
      <c r="M332" s="1"/>
      <c r="O332" s="24"/>
      <c r="P332" s="24"/>
      <c r="Q332" s="24"/>
      <c r="T332" s="16"/>
      <c r="U332" s="16"/>
      <c r="V332" s="16"/>
      <c r="W332" s="15"/>
      <c r="X332" s="15"/>
      <c r="Y332" s="15"/>
      <c r="Z332" s="15"/>
      <c r="AA332" s="15"/>
      <c r="AB332" s="15"/>
      <c r="AC332" s="15"/>
      <c r="AD332" s="15"/>
      <c r="AE332" s="15"/>
    </row>
    <row r="333" spans="3:31" s="2" customFormat="1" ht="18" customHeight="1">
      <c r="C333" s="14"/>
      <c r="G333" s="15"/>
      <c r="H333" s="17"/>
      <c r="I333" s="23"/>
      <c r="J333" s="5"/>
      <c r="K333" s="5"/>
      <c r="L333" s="1"/>
      <c r="M333" s="1"/>
      <c r="O333" s="24"/>
      <c r="P333" s="24"/>
      <c r="Q333" s="24"/>
      <c r="T333" s="16"/>
      <c r="U333" s="16"/>
      <c r="V333" s="16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spans="3:31" s="2" customFormat="1" ht="18" customHeight="1">
      <c r="C334" s="14"/>
      <c r="G334" s="15"/>
      <c r="H334" s="17"/>
      <c r="I334" s="23"/>
      <c r="J334" s="5"/>
      <c r="K334" s="5"/>
      <c r="L334" s="1"/>
      <c r="M334" s="1"/>
      <c r="O334" s="24"/>
      <c r="P334" s="24"/>
      <c r="Q334" s="24"/>
      <c r="T334" s="16"/>
      <c r="U334" s="16"/>
      <c r="V334" s="16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spans="3:31" s="2" customFormat="1" ht="18" customHeight="1">
      <c r="C335" s="14"/>
      <c r="G335" s="15"/>
      <c r="H335" s="17"/>
      <c r="I335" s="23"/>
      <c r="J335" s="5"/>
      <c r="K335" s="5"/>
      <c r="L335" s="1"/>
      <c r="M335" s="1"/>
      <c r="O335" s="24"/>
      <c r="P335" s="24"/>
      <c r="Q335" s="24"/>
      <c r="T335" s="16"/>
      <c r="U335" s="16"/>
      <c r="V335" s="16"/>
      <c r="W335" s="15"/>
      <c r="X335" s="15"/>
      <c r="Y335" s="15"/>
      <c r="Z335" s="15"/>
      <c r="AA335" s="15"/>
      <c r="AB335" s="15"/>
      <c r="AC335" s="15"/>
      <c r="AD335" s="15"/>
      <c r="AE335" s="15"/>
    </row>
    <row r="336" spans="3:31" s="2" customFormat="1" ht="18" customHeight="1">
      <c r="C336" s="14"/>
      <c r="G336" s="15"/>
      <c r="H336" s="17"/>
      <c r="I336" s="23"/>
      <c r="J336" s="5"/>
      <c r="K336" s="5"/>
      <c r="L336" s="1"/>
      <c r="M336" s="1"/>
      <c r="O336" s="24"/>
      <c r="P336" s="24"/>
      <c r="Q336" s="24"/>
      <c r="T336" s="16"/>
      <c r="U336" s="16"/>
      <c r="V336" s="16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spans="3:31" s="2" customFormat="1" ht="18" customHeight="1">
      <c r="C337" s="14"/>
      <c r="G337" s="15"/>
      <c r="H337" s="17"/>
      <c r="I337" s="23"/>
      <c r="J337" s="5"/>
      <c r="K337" s="5"/>
      <c r="L337" s="1"/>
      <c r="M337" s="1"/>
      <c r="O337" s="24"/>
      <c r="P337" s="24"/>
      <c r="Q337" s="24"/>
      <c r="T337" s="16"/>
      <c r="U337" s="16"/>
      <c r="V337" s="16"/>
      <c r="W337" s="15"/>
      <c r="X337" s="15"/>
      <c r="Y337" s="15"/>
      <c r="Z337" s="15"/>
      <c r="AA337" s="15"/>
      <c r="AB337" s="15"/>
      <c r="AC337" s="15"/>
      <c r="AD337" s="15"/>
      <c r="AE337" s="15"/>
    </row>
    <row r="338" spans="3:31" s="2" customFormat="1" ht="18" customHeight="1">
      <c r="C338" s="14"/>
      <c r="G338" s="15"/>
      <c r="H338" s="17"/>
      <c r="I338" s="23"/>
      <c r="J338" s="5"/>
      <c r="K338" s="5"/>
      <c r="L338" s="1"/>
      <c r="M338" s="1"/>
      <c r="O338" s="24"/>
      <c r="P338" s="24"/>
      <c r="Q338" s="24"/>
      <c r="T338" s="16"/>
      <c r="U338" s="16"/>
      <c r="V338" s="16"/>
      <c r="W338" s="15"/>
      <c r="X338" s="15"/>
      <c r="Y338" s="15"/>
      <c r="Z338" s="15"/>
      <c r="AA338" s="15"/>
      <c r="AB338" s="15"/>
      <c r="AC338" s="15"/>
      <c r="AD338" s="15"/>
      <c r="AE338" s="15"/>
    </row>
    <row r="339" spans="3:31" s="2" customFormat="1" ht="18" customHeight="1">
      <c r="C339" s="14"/>
      <c r="G339" s="15"/>
      <c r="H339" s="17"/>
      <c r="I339" s="23"/>
      <c r="J339" s="5"/>
      <c r="K339" s="5"/>
      <c r="L339" s="1"/>
      <c r="M339" s="1"/>
      <c r="O339" s="24"/>
      <c r="P339" s="24"/>
      <c r="Q339" s="24"/>
      <c r="T339" s="16"/>
      <c r="U339" s="16"/>
      <c r="V339" s="16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spans="3:31" s="2" customFormat="1" ht="18" customHeight="1">
      <c r="C340" s="14"/>
      <c r="G340" s="15"/>
      <c r="H340" s="17"/>
      <c r="I340" s="23"/>
      <c r="J340" s="5"/>
      <c r="K340" s="5"/>
      <c r="L340" s="1"/>
      <c r="M340" s="1"/>
      <c r="O340" s="24"/>
      <c r="P340" s="24"/>
      <c r="Q340" s="24"/>
      <c r="T340" s="16"/>
      <c r="U340" s="16"/>
      <c r="V340" s="16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spans="3:31" s="2" customFormat="1" ht="18" customHeight="1">
      <c r="C341" s="14"/>
      <c r="G341" s="15"/>
      <c r="H341" s="17"/>
      <c r="I341" s="23"/>
      <c r="J341" s="5"/>
      <c r="K341" s="5"/>
      <c r="L341" s="1"/>
      <c r="M341" s="1"/>
      <c r="O341" s="24"/>
      <c r="P341" s="24"/>
      <c r="Q341" s="24"/>
      <c r="T341" s="16"/>
      <c r="U341" s="16"/>
      <c r="V341" s="16"/>
      <c r="W341" s="15"/>
      <c r="X341" s="15"/>
      <c r="Y341" s="15"/>
      <c r="Z341" s="15"/>
      <c r="AA341" s="15"/>
      <c r="AB341" s="15"/>
      <c r="AC341" s="15"/>
      <c r="AD341" s="15"/>
      <c r="AE341" s="15"/>
    </row>
    <row r="342" spans="3:31" s="2" customFormat="1" ht="18" customHeight="1">
      <c r="C342" s="14"/>
      <c r="G342" s="15"/>
      <c r="H342" s="17"/>
      <c r="I342" s="23"/>
      <c r="J342" s="5"/>
      <c r="K342" s="5"/>
      <c r="L342" s="1"/>
      <c r="M342" s="1"/>
      <c r="O342" s="24"/>
      <c r="P342" s="24"/>
      <c r="Q342" s="24"/>
      <c r="T342" s="16"/>
      <c r="U342" s="16"/>
      <c r="V342" s="16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spans="3:31" s="2" customFormat="1" ht="18" customHeight="1">
      <c r="C343" s="14"/>
      <c r="G343" s="15"/>
      <c r="H343" s="17"/>
      <c r="I343" s="23"/>
      <c r="J343" s="5"/>
      <c r="K343" s="5"/>
      <c r="L343" s="1"/>
      <c r="M343" s="1"/>
      <c r="O343" s="24"/>
      <c r="P343" s="24"/>
      <c r="Q343" s="24"/>
      <c r="T343" s="16"/>
      <c r="U343" s="16"/>
      <c r="V343" s="16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spans="3:31" s="2" customFormat="1" ht="18" customHeight="1">
      <c r="C344" s="14"/>
      <c r="G344" s="15"/>
      <c r="H344" s="17"/>
      <c r="I344" s="23"/>
      <c r="J344" s="5"/>
      <c r="K344" s="5"/>
      <c r="L344" s="1"/>
      <c r="M344" s="1"/>
      <c r="O344" s="24"/>
      <c r="P344" s="24"/>
      <c r="Q344" s="24"/>
      <c r="T344" s="16"/>
      <c r="U344" s="16"/>
      <c r="V344" s="16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spans="3:31" s="2" customFormat="1" ht="18" customHeight="1">
      <c r="C345" s="14"/>
      <c r="G345" s="15"/>
      <c r="H345" s="17"/>
      <c r="I345" s="23"/>
      <c r="J345" s="5"/>
      <c r="K345" s="5"/>
      <c r="L345" s="1"/>
      <c r="M345" s="1"/>
      <c r="O345" s="24"/>
      <c r="P345" s="24"/>
      <c r="Q345" s="24"/>
      <c r="T345" s="16"/>
      <c r="U345" s="16"/>
      <c r="V345" s="16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spans="3:31" s="2" customFormat="1" ht="18" customHeight="1">
      <c r="C346" s="14"/>
      <c r="G346" s="15"/>
      <c r="H346" s="17"/>
      <c r="I346" s="23"/>
      <c r="J346" s="5"/>
      <c r="K346" s="5"/>
      <c r="L346" s="1"/>
      <c r="M346" s="1"/>
      <c r="O346" s="24"/>
      <c r="P346" s="24"/>
      <c r="Q346" s="24"/>
      <c r="T346" s="16"/>
      <c r="U346" s="16"/>
      <c r="V346" s="16"/>
      <c r="W346" s="15"/>
      <c r="X346" s="15"/>
      <c r="Y346" s="15"/>
      <c r="Z346" s="15"/>
      <c r="AA346" s="15"/>
      <c r="AB346" s="15"/>
      <c r="AC346" s="15"/>
      <c r="AD346" s="15"/>
      <c r="AE346" s="15"/>
    </row>
    <row r="347" spans="3:31" s="2" customFormat="1" ht="18" customHeight="1">
      <c r="C347" s="14"/>
      <c r="G347" s="15"/>
      <c r="H347" s="17"/>
      <c r="I347" s="23"/>
      <c r="J347" s="5"/>
      <c r="K347" s="5"/>
      <c r="L347" s="1"/>
      <c r="M347" s="1"/>
      <c r="O347" s="24"/>
      <c r="P347" s="24"/>
      <c r="Q347" s="24"/>
      <c r="T347" s="16"/>
      <c r="U347" s="16"/>
      <c r="V347" s="16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spans="3:31" s="2" customFormat="1" ht="18" customHeight="1">
      <c r="C348" s="14"/>
      <c r="G348" s="15"/>
      <c r="H348" s="17"/>
      <c r="I348" s="23"/>
      <c r="J348" s="5"/>
      <c r="K348" s="5"/>
      <c r="L348" s="1"/>
      <c r="M348" s="1"/>
      <c r="O348" s="24"/>
      <c r="P348" s="24"/>
      <c r="Q348" s="24"/>
      <c r="T348" s="16"/>
      <c r="U348" s="16"/>
      <c r="V348" s="16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spans="3:31" s="2" customFormat="1" ht="18" customHeight="1">
      <c r="C349" s="14"/>
      <c r="G349" s="15"/>
      <c r="H349" s="17"/>
      <c r="I349" s="23"/>
      <c r="J349" s="5"/>
      <c r="K349" s="5"/>
      <c r="L349" s="1"/>
      <c r="M349" s="1"/>
      <c r="O349" s="24"/>
      <c r="P349" s="24"/>
      <c r="Q349" s="24"/>
      <c r="T349" s="16"/>
      <c r="U349" s="16"/>
      <c r="V349" s="16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spans="3:31" s="2" customFormat="1" ht="18" customHeight="1">
      <c r="C350" s="14"/>
      <c r="G350" s="15"/>
      <c r="H350" s="17"/>
      <c r="I350" s="23"/>
      <c r="J350" s="5"/>
      <c r="K350" s="5"/>
      <c r="L350" s="1"/>
      <c r="M350" s="1"/>
      <c r="O350" s="24"/>
      <c r="P350" s="24"/>
      <c r="Q350" s="24"/>
      <c r="T350" s="16"/>
      <c r="U350" s="16"/>
      <c r="V350" s="16"/>
      <c r="W350" s="15"/>
      <c r="X350" s="15"/>
      <c r="Y350" s="15"/>
      <c r="Z350" s="15"/>
      <c r="AA350" s="15"/>
      <c r="AB350" s="15"/>
      <c r="AC350" s="15"/>
      <c r="AD350" s="15"/>
      <c r="AE350" s="15"/>
    </row>
    <row r="351" spans="3:31" s="2" customFormat="1" ht="18" customHeight="1">
      <c r="C351" s="14"/>
      <c r="G351" s="15"/>
      <c r="H351" s="17"/>
      <c r="I351" s="23"/>
      <c r="J351" s="5"/>
      <c r="K351" s="5"/>
      <c r="L351" s="1"/>
      <c r="M351" s="1"/>
      <c r="O351" s="24"/>
      <c r="P351" s="24"/>
      <c r="Q351" s="24"/>
      <c r="T351" s="16"/>
      <c r="U351" s="16"/>
      <c r="V351" s="16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spans="3:31" s="2" customFormat="1" ht="18" customHeight="1">
      <c r="C352" s="14"/>
      <c r="G352" s="15"/>
      <c r="H352" s="17"/>
      <c r="I352" s="23"/>
      <c r="J352" s="5"/>
      <c r="K352" s="5"/>
      <c r="L352" s="1"/>
      <c r="M352" s="1"/>
      <c r="O352" s="24"/>
      <c r="P352" s="24"/>
      <c r="Q352" s="24"/>
      <c r="T352" s="16"/>
      <c r="U352" s="16"/>
      <c r="V352" s="16"/>
      <c r="W352" s="15"/>
      <c r="X352" s="15"/>
      <c r="Y352" s="15"/>
      <c r="Z352" s="15"/>
      <c r="AA352" s="15"/>
      <c r="AB352" s="15"/>
      <c r="AC352" s="15"/>
      <c r="AD352" s="15"/>
      <c r="AE352" s="15"/>
    </row>
    <row r="353" spans="3:31" s="2" customFormat="1" ht="18" customHeight="1">
      <c r="C353" s="14"/>
      <c r="G353" s="15"/>
      <c r="H353" s="17"/>
      <c r="I353" s="23"/>
      <c r="J353" s="5"/>
      <c r="K353" s="5"/>
      <c r="L353" s="1"/>
      <c r="M353" s="1"/>
      <c r="O353" s="24"/>
      <c r="P353" s="24"/>
      <c r="Q353" s="24"/>
      <c r="T353" s="16"/>
      <c r="U353" s="16"/>
      <c r="V353" s="16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spans="3:31" s="2" customFormat="1" ht="18" customHeight="1">
      <c r="C354" s="14"/>
      <c r="G354" s="15"/>
      <c r="H354" s="17"/>
      <c r="I354" s="23"/>
      <c r="J354" s="5"/>
      <c r="K354" s="5"/>
      <c r="L354" s="1"/>
      <c r="M354" s="1"/>
      <c r="O354" s="24"/>
      <c r="P354" s="24"/>
      <c r="Q354" s="24"/>
      <c r="T354" s="16"/>
      <c r="U354" s="16"/>
      <c r="V354" s="16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spans="3:31" s="2" customFormat="1" ht="18" customHeight="1">
      <c r="C355" s="14"/>
      <c r="G355" s="15"/>
      <c r="H355" s="17"/>
      <c r="I355" s="23"/>
      <c r="J355" s="5"/>
      <c r="K355" s="5"/>
      <c r="L355" s="1"/>
      <c r="M355" s="1"/>
      <c r="O355" s="24"/>
      <c r="P355" s="24"/>
      <c r="Q355" s="24"/>
      <c r="T355" s="16"/>
      <c r="U355" s="16"/>
      <c r="V355" s="16"/>
      <c r="W355" s="15"/>
      <c r="X355" s="15"/>
      <c r="Y355" s="15"/>
      <c r="Z355" s="15"/>
      <c r="AA355" s="15"/>
      <c r="AB355" s="15"/>
      <c r="AC355" s="15"/>
      <c r="AD355" s="15"/>
      <c r="AE355" s="15"/>
    </row>
    <row r="356" spans="3:31" s="2" customFormat="1" ht="18" customHeight="1">
      <c r="C356" s="14"/>
      <c r="G356" s="15"/>
      <c r="H356" s="17"/>
      <c r="I356" s="23"/>
      <c r="J356" s="5"/>
      <c r="K356" s="5"/>
      <c r="L356" s="1"/>
      <c r="M356" s="1"/>
      <c r="O356" s="24"/>
      <c r="P356" s="24"/>
      <c r="Q356" s="24"/>
      <c r="T356" s="16"/>
      <c r="U356" s="16"/>
      <c r="V356" s="16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spans="3:31" s="2" customFormat="1" ht="18" customHeight="1">
      <c r="C357" s="14"/>
      <c r="G357" s="15"/>
      <c r="H357" s="17"/>
      <c r="I357" s="23"/>
      <c r="J357" s="5"/>
      <c r="K357" s="5"/>
      <c r="L357" s="1"/>
      <c r="M357" s="1"/>
      <c r="O357" s="24"/>
      <c r="P357" s="24"/>
      <c r="Q357" s="24"/>
      <c r="T357" s="16"/>
      <c r="U357" s="16"/>
      <c r="V357" s="16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spans="3:31" s="2" customFormat="1" ht="18" customHeight="1">
      <c r="C358" s="14"/>
      <c r="G358" s="15"/>
      <c r="H358" s="17"/>
      <c r="I358" s="23"/>
      <c r="J358" s="5"/>
      <c r="K358" s="5"/>
      <c r="L358" s="1"/>
      <c r="M358" s="1"/>
      <c r="O358" s="24"/>
      <c r="P358" s="24"/>
      <c r="Q358" s="24"/>
      <c r="T358" s="16"/>
      <c r="U358" s="16"/>
      <c r="V358" s="16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spans="3:31" s="2" customFormat="1" ht="18" customHeight="1">
      <c r="C359" s="14"/>
      <c r="G359" s="15"/>
      <c r="H359" s="17"/>
      <c r="I359" s="23"/>
      <c r="J359" s="5"/>
      <c r="K359" s="5"/>
      <c r="L359" s="1"/>
      <c r="M359" s="1"/>
      <c r="O359" s="24"/>
      <c r="P359" s="24"/>
      <c r="Q359" s="24"/>
      <c r="T359" s="16"/>
      <c r="U359" s="16"/>
      <c r="V359" s="16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3:31" s="2" customFormat="1" ht="18" customHeight="1">
      <c r="C360" s="14"/>
      <c r="G360" s="15"/>
      <c r="H360" s="17"/>
      <c r="I360" s="23"/>
      <c r="J360" s="5"/>
      <c r="K360" s="5"/>
      <c r="L360" s="1"/>
      <c r="M360" s="1"/>
      <c r="O360" s="24"/>
      <c r="P360" s="24"/>
      <c r="Q360" s="24"/>
      <c r="T360" s="16"/>
      <c r="U360" s="16"/>
      <c r="V360" s="16"/>
      <c r="W360" s="15"/>
      <c r="X360" s="15"/>
      <c r="Y360" s="15"/>
      <c r="Z360" s="15"/>
      <c r="AA360" s="15"/>
      <c r="AB360" s="15"/>
      <c r="AC360" s="15"/>
      <c r="AD360" s="15"/>
      <c r="AE360" s="15"/>
    </row>
    <row r="361" spans="3:31" s="2" customFormat="1" ht="18" customHeight="1">
      <c r="C361" s="14"/>
      <c r="G361" s="15"/>
      <c r="H361" s="17"/>
      <c r="I361" s="23"/>
      <c r="J361" s="5"/>
      <c r="K361" s="5"/>
      <c r="L361" s="1"/>
      <c r="M361" s="1"/>
      <c r="O361" s="24"/>
      <c r="P361" s="24"/>
      <c r="Q361" s="24"/>
      <c r="T361" s="16"/>
      <c r="U361" s="16"/>
      <c r="V361" s="16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spans="3:31" s="2" customFormat="1" ht="18" customHeight="1">
      <c r="C362" s="14"/>
      <c r="G362" s="15"/>
      <c r="H362" s="17"/>
      <c r="I362" s="23"/>
      <c r="J362" s="5"/>
      <c r="K362" s="5"/>
      <c r="L362" s="1"/>
      <c r="M362" s="1"/>
      <c r="O362" s="24"/>
      <c r="P362" s="24"/>
      <c r="Q362" s="24"/>
      <c r="T362" s="16"/>
      <c r="U362" s="16"/>
      <c r="V362" s="16"/>
      <c r="W362" s="15"/>
      <c r="X362" s="15"/>
      <c r="Y362" s="15"/>
      <c r="Z362" s="15"/>
      <c r="AA362" s="15"/>
      <c r="AB362" s="15"/>
      <c r="AC362" s="15"/>
      <c r="AD362" s="15"/>
      <c r="AE362" s="15"/>
    </row>
    <row r="363" spans="3:31" s="2" customFormat="1" ht="18" customHeight="1">
      <c r="C363" s="14"/>
      <c r="G363" s="15"/>
      <c r="H363" s="17"/>
      <c r="I363" s="23"/>
      <c r="J363" s="5"/>
      <c r="K363" s="5"/>
      <c r="L363" s="1"/>
      <c r="M363" s="1"/>
      <c r="O363" s="24"/>
      <c r="P363" s="24"/>
      <c r="Q363" s="24"/>
      <c r="T363" s="16"/>
      <c r="U363" s="16"/>
      <c r="V363" s="16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spans="3:31" s="2" customFormat="1" ht="18" customHeight="1">
      <c r="C364" s="14"/>
      <c r="G364" s="15"/>
      <c r="H364" s="17"/>
      <c r="I364" s="23"/>
      <c r="J364" s="5"/>
      <c r="K364" s="5"/>
      <c r="L364" s="1"/>
      <c r="M364" s="1"/>
      <c r="O364" s="24"/>
      <c r="P364" s="24"/>
      <c r="Q364" s="24"/>
      <c r="T364" s="16"/>
      <c r="U364" s="16"/>
      <c r="V364" s="16"/>
      <c r="W364" s="15"/>
      <c r="X364" s="15"/>
      <c r="Y364" s="15"/>
      <c r="Z364" s="15"/>
      <c r="AA364" s="15"/>
      <c r="AB364" s="15"/>
      <c r="AC364" s="15"/>
      <c r="AD364" s="15"/>
      <c r="AE364" s="15"/>
    </row>
    <row r="365" spans="3:31" s="2" customFormat="1" ht="18" customHeight="1">
      <c r="C365" s="14"/>
      <c r="G365" s="15"/>
      <c r="H365" s="17"/>
      <c r="I365" s="23"/>
      <c r="J365" s="5"/>
      <c r="K365" s="5"/>
      <c r="L365" s="1"/>
      <c r="M365" s="1"/>
      <c r="O365" s="24"/>
      <c r="P365" s="24"/>
      <c r="Q365" s="24"/>
      <c r="T365" s="16"/>
      <c r="U365" s="16"/>
      <c r="V365" s="16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spans="3:31" s="2" customFormat="1" ht="18" customHeight="1">
      <c r="C366" s="14"/>
      <c r="G366" s="15"/>
      <c r="H366" s="17"/>
      <c r="I366" s="23"/>
      <c r="J366" s="5"/>
      <c r="K366" s="5"/>
      <c r="L366" s="1"/>
      <c r="M366" s="1"/>
      <c r="O366" s="24"/>
      <c r="P366" s="24"/>
      <c r="Q366" s="24"/>
      <c r="T366" s="16"/>
      <c r="U366" s="16"/>
      <c r="V366" s="16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spans="3:31" s="2" customFormat="1" ht="18" customHeight="1">
      <c r="C367" s="14"/>
      <c r="G367" s="15"/>
      <c r="H367" s="17"/>
      <c r="I367" s="23"/>
      <c r="J367" s="5"/>
      <c r="K367" s="5"/>
      <c r="L367" s="1"/>
      <c r="M367" s="1"/>
      <c r="O367" s="24"/>
      <c r="P367" s="24"/>
      <c r="Q367" s="24"/>
      <c r="T367" s="16"/>
      <c r="U367" s="16"/>
      <c r="V367" s="16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spans="3:31" s="2" customFormat="1" ht="18" customHeight="1">
      <c r="C368" s="14"/>
      <c r="G368" s="15"/>
      <c r="H368" s="17"/>
      <c r="I368" s="23"/>
      <c r="J368" s="5"/>
      <c r="K368" s="5"/>
      <c r="L368" s="1"/>
      <c r="M368" s="1"/>
      <c r="O368" s="24"/>
      <c r="P368" s="24"/>
      <c r="Q368" s="24"/>
      <c r="T368" s="16"/>
      <c r="U368" s="16"/>
      <c r="V368" s="16"/>
      <c r="W368" s="15"/>
      <c r="X368" s="15"/>
      <c r="Y368" s="15"/>
      <c r="Z368" s="15"/>
      <c r="AA368" s="15"/>
      <c r="AB368" s="15"/>
      <c r="AC368" s="15"/>
      <c r="AD368" s="15"/>
      <c r="AE368" s="15"/>
    </row>
    <row r="369" spans="3:31" s="2" customFormat="1" ht="18" customHeight="1">
      <c r="C369" s="14"/>
      <c r="G369" s="15"/>
      <c r="H369" s="17"/>
      <c r="I369" s="23"/>
      <c r="J369" s="5"/>
      <c r="K369" s="5"/>
      <c r="L369" s="1"/>
      <c r="M369" s="1"/>
      <c r="O369" s="24"/>
      <c r="P369" s="24"/>
      <c r="Q369" s="24"/>
      <c r="T369" s="16"/>
      <c r="U369" s="16"/>
      <c r="V369" s="16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spans="3:31" s="2" customFormat="1" ht="18" customHeight="1">
      <c r="C370" s="14"/>
      <c r="G370" s="15"/>
      <c r="H370" s="17"/>
      <c r="I370" s="23"/>
      <c r="J370" s="5"/>
      <c r="K370" s="5"/>
      <c r="L370" s="1"/>
      <c r="M370" s="1"/>
      <c r="O370" s="24"/>
      <c r="P370" s="24"/>
      <c r="Q370" s="24"/>
      <c r="T370" s="16"/>
      <c r="U370" s="16"/>
      <c r="V370" s="16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spans="3:31" s="2" customFormat="1" ht="18" customHeight="1">
      <c r="C371" s="14"/>
      <c r="G371" s="15"/>
      <c r="H371" s="17"/>
      <c r="I371" s="23"/>
      <c r="J371" s="5"/>
      <c r="K371" s="5"/>
      <c r="L371" s="1"/>
      <c r="M371" s="1"/>
      <c r="O371" s="24"/>
      <c r="P371" s="24"/>
      <c r="Q371" s="24"/>
      <c r="T371" s="16"/>
      <c r="U371" s="16"/>
      <c r="V371" s="16"/>
      <c r="W371" s="15"/>
      <c r="X371" s="15"/>
      <c r="Y371" s="15"/>
      <c r="Z371" s="15"/>
      <c r="AA371" s="15"/>
      <c r="AB371" s="15"/>
      <c r="AC371" s="15"/>
      <c r="AD371" s="15"/>
      <c r="AE371" s="15"/>
    </row>
    <row r="372" spans="3:31" s="2" customFormat="1" ht="18" customHeight="1">
      <c r="C372" s="14"/>
      <c r="G372" s="15"/>
      <c r="H372" s="17"/>
      <c r="I372" s="23"/>
      <c r="J372" s="5"/>
      <c r="K372" s="5"/>
      <c r="L372" s="1"/>
      <c r="M372" s="1"/>
      <c r="O372" s="24"/>
      <c r="P372" s="24"/>
      <c r="Q372" s="24"/>
      <c r="T372" s="16"/>
      <c r="U372" s="16"/>
      <c r="V372" s="16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spans="3:31" s="2" customFormat="1" ht="18" customHeight="1">
      <c r="C373" s="14"/>
      <c r="G373" s="15"/>
      <c r="H373" s="17"/>
      <c r="I373" s="23"/>
      <c r="J373" s="5"/>
      <c r="K373" s="5"/>
      <c r="L373" s="1"/>
      <c r="M373" s="1"/>
      <c r="O373" s="24"/>
      <c r="P373" s="24"/>
      <c r="Q373" s="24"/>
      <c r="T373" s="16"/>
      <c r="U373" s="16"/>
      <c r="V373" s="16"/>
      <c r="W373" s="15"/>
      <c r="X373" s="15"/>
      <c r="Y373" s="15"/>
      <c r="Z373" s="15"/>
      <c r="AA373" s="15"/>
      <c r="AB373" s="15"/>
      <c r="AC373" s="15"/>
      <c r="AD373" s="15"/>
      <c r="AE373" s="15"/>
    </row>
    <row r="374" spans="3:31" s="2" customFormat="1" ht="18" customHeight="1">
      <c r="C374" s="14"/>
      <c r="G374" s="15"/>
      <c r="H374" s="17"/>
      <c r="I374" s="23"/>
      <c r="J374" s="5"/>
      <c r="K374" s="5"/>
      <c r="L374" s="1"/>
      <c r="M374" s="1"/>
      <c r="O374" s="24"/>
      <c r="P374" s="24"/>
      <c r="Q374" s="24"/>
      <c r="T374" s="16"/>
      <c r="U374" s="16"/>
      <c r="V374" s="16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spans="3:31" s="2" customFormat="1" ht="18" customHeight="1">
      <c r="C375" s="14"/>
      <c r="G375" s="15"/>
      <c r="H375" s="17"/>
      <c r="I375" s="23"/>
      <c r="J375" s="5"/>
      <c r="K375" s="5"/>
      <c r="L375" s="1"/>
      <c r="M375" s="1"/>
      <c r="O375" s="24"/>
      <c r="P375" s="24"/>
      <c r="Q375" s="24"/>
      <c r="T375" s="16"/>
      <c r="U375" s="16"/>
      <c r="V375" s="16"/>
      <c r="W375" s="15"/>
      <c r="X375" s="15"/>
      <c r="Y375" s="15"/>
      <c r="Z375" s="15"/>
      <c r="AA375" s="15"/>
      <c r="AB375" s="15"/>
      <c r="AC375" s="15"/>
      <c r="AD375" s="15"/>
      <c r="AE375" s="15"/>
    </row>
    <row r="376" spans="3:31" s="2" customFormat="1" ht="18" customHeight="1">
      <c r="C376" s="14"/>
      <c r="G376" s="15"/>
      <c r="H376" s="17"/>
      <c r="I376" s="23"/>
      <c r="J376" s="5"/>
      <c r="K376" s="5"/>
      <c r="L376" s="1"/>
      <c r="M376" s="1"/>
      <c r="O376" s="24"/>
      <c r="P376" s="24"/>
      <c r="Q376" s="24"/>
      <c r="T376" s="16"/>
      <c r="U376" s="16"/>
      <c r="V376" s="16"/>
      <c r="W376" s="15"/>
      <c r="X376" s="15"/>
      <c r="Y376" s="15"/>
      <c r="Z376" s="15"/>
      <c r="AA376" s="15"/>
      <c r="AB376" s="15"/>
      <c r="AC376" s="15"/>
      <c r="AD376" s="15"/>
      <c r="AE376" s="15"/>
    </row>
    <row r="377" spans="3:31" s="2" customFormat="1" ht="18" customHeight="1">
      <c r="C377" s="14"/>
      <c r="G377" s="15"/>
      <c r="H377" s="17"/>
      <c r="I377" s="23"/>
      <c r="J377" s="5"/>
      <c r="K377" s="5"/>
      <c r="L377" s="1"/>
      <c r="M377" s="1"/>
      <c r="O377" s="24"/>
      <c r="P377" s="24"/>
      <c r="Q377" s="24"/>
      <c r="T377" s="16"/>
      <c r="U377" s="16"/>
      <c r="V377" s="16"/>
      <c r="W377" s="15"/>
      <c r="X377" s="15"/>
      <c r="Y377" s="15"/>
      <c r="Z377" s="15"/>
      <c r="AA377" s="15"/>
      <c r="AB377" s="15"/>
      <c r="AC377" s="15"/>
      <c r="AD377" s="15"/>
      <c r="AE377" s="15"/>
    </row>
    <row r="378" spans="3:31" s="2" customFormat="1" ht="18" customHeight="1">
      <c r="C378" s="14"/>
      <c r="G378" s="15"/>
      <c r="H378" s="17"/>
      <c r="I378" s="23"/>
      <c r="J378" s="5"/>
      <c r="K378" s="5"/>
      <c r="L378" s="1"/>
      <c r="M378" s="1"/>
      <c r="O378" s="24"/>
      <c r="P378" s="24"/>
      <c r="Q378" s="24"/>
      <c r="T378" s="16"/>
      <c r="U378" s="16"/>
      <c r="V378" s="16"/>
      <c r="W378" s="15"/>
      <c r="X378" s="15"/>
      <c r="Y378" s="15"/>
      <c r="Z378" s="15"/>
      <c r="AA378" s="15"/>
      <c r="AB378" s="15"/>
      <c r="AC378" s="15"/>
      <c r="AD378" s="15"/>
      <c r="AE378" s="15"/>
    </row>
    <row r="379" spans="3:31" s="2" customFormat="1" ht="18" customHeight="1">
      <c r="C379" s="14"/>
      <c r="G379" s="15"/>
      <c r="H379" s="17"/>
      <c r="I379" s="23"/>
      <c r="J379" s="5"/>
      <c r="K379" s="5"/>
      <c r="L379" s="1"/>
      <c r="M379" s="1"/>
      <c r="O379" s="24"/>
      <c r="P379" s="24"/>
      <c r="Q379" s="24"/>
      <c r="T379" s="16"/>
      <c r="U379" s="16"/>
      <c r="V379" s="16"/>
      <c r="W379" s="15"/>
      <c r="X379" s="15"/>
      <c r="Y379" s="15"/>
      <c r="Z379" s="15"/>
      <c r="AA379" s="15"/>
      <c r="AB379" s="15"/>
      <c r="AC379" s="15"/>
      <c r="AD379" s="15"/>
      <c r="AE379" s="15"/>
    </row>
    <row r="380" spans="3:31" s="2" customFormat="1" ht="18" customHeight="1">
      <c r="C380" s="14"/>
      <c r="G380" s="15"/>
      <c r="H380" s="17"/>
      <c r="I380" s="23"/>
      <c r="J380" s="5"/>
      <c r="K380" s="5"/>
      <c r="L380" s="1"/>
      <c r="M380" s="1"/>
      <c r="O380" s="24"/>
      <c r="P380" s="24"/>
      <c r="Q380" s="24"/>
      <c r="T380" s="16"/>
      <c r="U380" s="16"/>
      <c r="V380" s="16"/>
      <c r="W380" s="15"/>
      <c r="X380" s="15"/>
      <c r="Y380" s="15"/>
      <c r="Z380" s="15"/>
      <c r="AA380" s="15"/>
      <c r="AB380" s="15"/>
      <c r="AC380" s="15"/>
      <c r="AD380" s="15"/>
      <c r="AE380" s="15"/>
    </row>
    <row r="381" spans="3:31" s="2" customFormat="1" ht="18" customHeight="1">
      <c r="C381" s="14"/>
      <c r="G381" s="15"/>
      <c r="H381" s="17"/>
      <c r="I381" s="23"/>
      <c r="J381" s="5"/>
      <c r="K381" s="5"/>
      <c r="L381" s="1"/>
      <c r="M381" s="1"/>
      <c r="O381" s="24"/>
      <c r="P381" s="24"/>
      <c r="Q381" s="24"/>
      <c r="T381" s="16"/>
      <c r="U381" s="16"/>
      <c r="V381" s="16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spans="3:31" s="2" customFormat="1" ht="18" customHeight="1">
      <c r="C382" s="14"/>
      <c r="G382" s="15"/>
      <c r="H382" s="17"/>
      <c r="I382" s="23"/>
      <c r="J382" s="5"/>
      <c r="K382" s="5"/>
      <c r="L382" s="1"/>
      <c r="M382" s="1"/>
      <c r="O382" s="24"/>
      <c r="P382" s="24"/>
      <c r="Q382" s="24"/>
      <c r="T382" s="16"/>
      <c r="U382" s="16"/>
      <c r="V382" s="16"/>
      <c r="W382" s="15"/>
      <c r="X382" s="15"/>
      <c r="Y382" s="15"/>
      <c r="Z382" s="15"/>
      <c r="AA382" s="15"/>
      <c r="AB382" s="15"/>
      <c r="AC382" s="15"/>
      <c r="AD382" s="15"/>
      <c r="AE382" s="15"/>
    </row>
    <row r="383" spans="3:31" s="2" customFormat="1" ht="18" customHeight="1">
      <c r="C383" s="14"/>
      <c r="G383" s="15"/>
      <c r="H383" s="17"/>
      <c r="I383" s="23"/>
      <c r="J383" s="5"/>
      <c r="K383" s="5"/>
      <c r="L383" s="1"/>
      <c r="M383" s="1"/>
      <c r="O383" s="24"/>
      <c r="P383" s="24"/>
      <c r="Q383" s="24"/>
      <c r="T383" s="16"/>
      <c r="U383" s="16"/>
      <c r="V383" s="16"/>
      <c r="W383" s="15"/>
      <c r="X383" s="15"/>
      <c r="Y383" s="15"/>
      <c r="Z383" s="15"/>
      <c r="AA383" s="15"/>
      <c r="AB383" s="15"/>
      <c r="AC383" s="15"/>
      <c r="AD383" s="15"/>
      <c r="AE383" s="15"/>
    </row>
    <row r="384" spans="3:31" s="2" customFormat="1" ht="18" customHeight="1">
      <c r="C384" s="14"/>
      <c r="G384" s="15"/>
      <c r="H384" s="17"/>
      <c r="I384" s="23"/>
      <c r="J384" s="5"/>
      <c r="K384" s="5"/>
      <c r="L384" s="1"/>
      <c r="M384" s="1"/>
      <c r="O384" s="24"/>
      <c r="P384" s="24"/>
      <c r="Q384" s="24"/>
      <c r="T384" s="16"/>
      <c r="U384" s="16"/>
      <c r="V384" s="16"/>
      <c r="W384" s="15"/>
      <c r="X384" s="15"/>
      <c r="Y384" s="15"/>
      <c r="Z384" s="15"/>
      <c r="AA384" s="15"/>
      <c r="AB384" s="15"/>
      <c r="AC384" s="15"/>
      <c r="AD384" s="15"/>
      <c r="AE384" s="15"/>
    </row>
    <row r="385" spans="3:31" s="2" customFormat="1" ht="18" customHeight="1">
      <c r="C385" s="14"/>
      <c r="G385" s="15"/>
      <c r="H385" s="17"/>
      <c r="I385" s="23"/>
      <c r="J385" s="5"/>
      <c r="K385" s="5"/>
      <c r="L385" s="1"/>
      <c r="M385" s="1"/>
      <c r="O385" s="24"/>
      <c r="P385" s="24"/>
      <c r="Q385" s="24"/>
      <c r="T385" s="16"/>
      <c r="U385" s="16"/>
      <c r="V385" s="16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spans="3:31" s="2" customFormat="1" ht="18" customHeight="1">
      <c r="C386" s="14"/>
      <c r="G386" s="15"/>
      <c r="H386" s="17"/>
      <c r="I386" s="23"/>
      <c r="J386" s="5"/>
      <c r="K386" s="5"/>
      <c r="L386" s="1"/>
      <c r="M386" s="1"/>
      <c r="O386" s="24"/>
      <c r="P386" s="24"/>
      <c r="Q386" s="24"/>
      <c r="T386" s="16"/>
      <c r="U386" s="16"/>
      <c r="V386" s="16"/>
      <c r="W386" s="15"/>
      <c r="X386" s="15"/>
      <c r="Y386" s="15"/>
      <c r="Z386" s="15"/>
      <c r="AA386" s="15"/>
      <c r="AB386" s="15"/>
      <c r="AC386" s="15"/>
      <c r="AD386" s="15"/>
      <c r="AE386" s="15"/>
    </row>
    <row r="387" spans="3:31" s="2" customFormat="1" ht="18" customHeight="1">
      <c r="C387" s="14"/>
      <c r="G387" s="15"/>
      <c r="H387" s="17"/>
      <c r="I387" s="23"/>
      <c r="J387" s="5"/>
      <c r="K387" s="5"/>
      <c r="L387" s="1"/>
      <c r="M387" s="1"/>
      <c r="O387" s="24"/>
      <c r="P387" s="24"/>
      <c r="Q387" s="24"/>
      <c r="T387" s="16"/>
      <c r="U387" s="16"/>
      <c r="V387" s="16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spans="3:31" s="2" customFormat="1" ht="18" customHeight="1">
      <c r="C388" s="14"/>
      <c r="G388" s="15"/>
      <c r="H388" s="17"/>
      <c r="I388" s="23"/>
      <c r="J388" s="5"/>
      <c r="K388" s="5"/>
      <c r="L388" s="1"/>
      <c r="M388" s="1"/>
      <c r="O388" s="24"/>
      <c r="P388" s="24"/>
      <c r="Q388" s="24"/>
      <c r="T388" s="16"/>
      <c r="U388" s="16"/>
      <c r="V388" s="16"/>
      <c r="W388" s="15"/>
      <c r="X388" s="15"/>
      <c r="Y388" s="15"/>
      <c r="Z388" s="15"/>
      <c r="AA388" s="15"/>
      <c r="AB388" s="15"/>
      <c r="AC388" s="15"/>
      <c r="AD388" s="15"/>
      <c r="AE388" s="15"/>
    </row>
    <row r="389" spans="3:31" s="2" customFormat="1" ht="18" customHeight="1">
      <c r="C389" s="14"/>
      <c r="G389" s="15"/>
      <c r="H389" s="17"/>
      <c r="I389" s="23"/>
      <c r="J389" s="5"/>
      <c r="K389" s="5"/>
      <c r="L389" s="1"/>
      <c r="M389" s="1"/>
      <c r="O389" s="24"/>
      <c r="P389" s="24"/>
      <c r="Q389" s="24"/>
      <c r="T389" s="16"/>
      <c r="U389" s="16"/>
      <c r="V389" s="16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spans="3:31" s="2" customFormat="1" ht="18" customHeight="1">
      <c r="C390" s="14"/>
      <c r="G390" s="15"/>
      <c r="H390" s="17"/>
      <c r="I390" s="23"/>
      <c r="J390" s="5"/>
      <c r="K390" s="5"/>
      <c r="L390" s="1"/>
      <c r="M390" s="1"/>
      <c r="O390" s="24"/>
      <c r="P390" s="24"/>
      <c r="Q390" s="24"/>
      <c r="T390" s="16"/>
      <c r="U390" s="16"/>
      <c r="V390" s="16"/>
      <c r="W390" s="15"/>
      <c r="X390" s="15"/>
      <c r="Y390" s="15"/>
      <c r="Z390" s="15"/>
      <c r="AA390" s="15"/>
      <c r="AB390" s="15"/>
      <c r="AC390" s="15"/>
      <c r="AD390" s="15"/>
      <c r="AE390" s="15"/>
    </row>
    <row r="391" spans="3:31" s="2" customFormat="1" ht="18" customHeight="1">
      <c r="C391" s="14"/>
      <c r="G391" s="15"/>
      <c r="H391" s="17"/>
      <c r="I391" s="23"/>
      <c r="J391" s="5"/>
      <c r="K391" s="5"/>
      <c r="L391" s="1"/>
      <c r="M391" s="1"/>
      <c r="O391" s="24"/>
      <c r="P391" s="24"/>
      <c r="Q391" s="24"/>
      <c r="T391" s="16"/>
      <c r="U391" s="16"/>
      <c r="V391" s="16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spans="3:31" s="2" customFormat="1" ht="18" customHeight="1">
      <c r="C392" s="14"/>
      <c r="G392" s="15"/>
      <c r="H392" s="17"/>
      <c r="I392" s="23"/>
      <c r="J392" s="5"/>
      <c r="K392" s="5"/>
      <c r="L392" s="1"/>
      <c r="M392" s="1"/>
      <c r="O392" s="24"/>
      <c r="P392" s="24"/>
      <c r="Q392" s="24"/>
      <c r="T392" s="16"/>
      <c r="U392" s="16"/>
      <c r="V392" s="16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spans="3:31" s="2" customFormat="1" ht="18" customHeight="1">
      <c r="C393" s="14"/>
      <c r="G393" s="15"/>
      <c r="H393" s="17"/>
      <c r="I393" s="23"/>
      <c r="J393" s="5"/>
      <c r="K393" s="5"/>
      <c r="L393" s="1"/>
      <c r="M393" s="1"/>
      <c r="O393" s="24"/>
      <c r="P393" s="24"/>
      <c r="Q393" s="24"/>
      <c r="T393" s="16"/>
      <c r="U393" s="16"/>
      <c r="V393" s="16"/>
      <c r="W393" s="15"/>
      <c r="X393" s="15"/>
      <c r="Y393" s="15"/>
      <c r="Z393" s="15"/>
      <c r="AA393" s="15"/>
      <c r="AB393" s="15"/>
      <c r="AC393" s="15"/>
      <c r="AD393" s="15"/>
      <c r="AE393" s="15"/>
    </row>
    <row r="394" spans="3:31" s="2" customFormat="1" ht="18" customHeight="1">
      <c r="C394" s="14"/>
      <c r="G394" s="15"/>
      <c r="H394" s="17"/>
      <c r="I394" s="23"/>
      <c r="J394" s="5"/>
      <c r="K394" s="5"/>
      <c r="L394" s="1"/>
      <c r="M394" s="1"/>
      <c r="O394" s="24"/>
      <c r="P394" s="24"/>
      <c r="Q394" s="24"/>
      <c r="T394" s="16"/>
      <c r="U394" s="16"/>
      <c r="V394" s="16"/>
      <c r="W394" s="15"/>
      <c r="X394" s="15"/>
      <c r="Y394" s="15"/>
      <c r="Z394" s="15"/>
      <c r="AA394" s="15"/>
      <c r="AB394" s="15"/>
      <c r="AC394" s="15"/>
      <c r="AD394" s="15"/>
      <c r="AE394" s="15"/>
    </row>
    <row r="395" spans="3:31" s="2" customFormat="1" ht="18" customHeight="1">
      <c r="C395" s="14"/>
      <c r="G395" s="15"/>
      <c r="H395" s="17"/>
      <c r="I395" s="23"/>
      <c r="J395" s="5"/>
      <c r="K395" s="5"/>
      <c r="L395" s="1"/>
      <c r="M395" s="1"/>
      <c r="O395" s="24"/>
      <c r="P395" s="24"/>
      <c r="Q395" s="24"/>
      <c r="T395" s="16"/>
      <c r="U395" s="16"/>
      <c r="V395" s="16"/>
      <c r="W395" s="15"/>
      <c r="X395" s="15"/>
      <c r="Y395" s="15"/>
      <c r="Z395" s="15"/>
      <c r="AA395" s="15"/>
      <c r="AB395" s="15"/>
      <c r="AC395" s="15"/>
      <c r="AD395" s="15"/>
      <c r="AE395" s="15"/>
    </row>
    <row r="396" spans="3:31" s="2" customFormat="1" ht="18" customHeight="1">
      <c r="C396" s="14"/>
      <c r="G396" s="15"/>
      <c r="H396" s="17"/>
      <c r="I396" s="23"/>
      <c r="J396" s="5"/>
      <c r="K396" s="5"/>
      <c r="L396" s="1"/>
      <c r="M396" s="1"/>
      <c r="O396" s="24"/>
      <c r="P396" s="24"/>
      <c r="Q396" s="24"/>
      <c r="T396" s="16"/>
      <c r="U396" s="16"/>
      <c r="V396" s="16"/>
      <c r="W396" s="15"/>
      <c r="X396" s="15"/>
      <c r="Y396" s="15"/>
      <c r="Z396" s="15"/>
      <c r="AA396" s="15"/>
      <c r="AB396" s="15"/>
      <c r="AC396" s="15"/>
      <c r="AD396" s="15"/>
      <c r="AE396" s="15"/>
    </row>
    <row r="397" spans="3:31" s="2" customFormat="1" ht="18" customHeight="1">
      <c r="C397" s="14"/>
      <c r="G397" s="15"/>
      <c r="H397" s="17"/>
      <c r="I397" s="23"/>
      <c r="J397" s="5"/>
      <c r="K397" s="5"/>
      <c r="L397" s="1"/>
      <c r="M397" s="1"/>
      <c r="O397" s="24"/>
      <c r="P397" s="24"/>
      <c r="Q397" s="24"/>
      <c r="T397" s="16"/>
      <c r="U397" s="16"/>
      <c r="V397" s="16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spans="3:31" s="2" customFormat="1" ht="18" customHeight="1">
      <c r="C398" s="14"/>
      <c r="G398" s="15"/>
      <c r="H398" s="17"/>
      <c r="I398" s="23"/>
      <c r="J398" s="5"/>
      <c r="K398" s="5"/>
      <c r="L398" s="1"/>
      <c r="M398" s="1"/>
      <c r="O398" s="24"/>
      <c r="P398" s="24"/>
      <c r="Q398" s="24"/>
      <c r="T398" s="16"/>
      <c r="U398" s="16"/>
      <c r="V398" s="16"/>
      <c r="W398" s="15"/>
      <c r="X398" s="15"/>
      <c r="Y398" s="15"/>
      <c r="Z398" s="15"/>
      <c r="AA398" s="15"/>
      <c r="AB398" s="15"/>
      <c r="AC398" s="15"/>
      <c r="AD398" s="15"/>
      <c r="AE398" s="15"/>
    </row>
    <row r="399" spans="3:31" s="2" customFormat="1" ht="18" customHeight="1">
      <c r="C399" s="14"/>
      <c r="G399" s="15"/>
      <c r="H399" s="17"/>
      <c r="I399" s="23"/>
      <c r="J399" s="5"/>
      <c r="K399" s="5"/>
      <c r="L399" s="1"/>
      <c r="M399" s="1"/>
      <c r="O399" s="24"/>
      <c r="P399" s="24"/>
      <c r="Q399" s="24"/>
      <c r="T399" s="16"/>
      <c r="U399" s="16"/>
      <c r="V399" s="16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spans="3:31" s="2" customFormat="1" ht="18" customHeight="1">
      <c r="C400" s="14"/>
      <c r="G400" s="15"/>
      <c r="H400" s="17"/>
      <c r="I400" s="23"/>
      <c r="J400" s="5"/>
      <c r="K400" s="5"/>
      <c r="L400" s="1"/>
      <c r="M400" s="1"/>
      <c r="O400" s="24"/>
      <c r="P400" s="24"/>
      <c r="Q400" s="24"/>
      <c r="T400" s="16"/>
      <c r="U400" s="16"/>
      <c r="V400" s="16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spans="3:31" s="2" customFormat="1" ht="18" customHeight="1">
      <c r="C401" s="14"/>
      <c r="G401" s="15"/>
      <c r="H401" s="17"/>
      <c r="I401" s="23"/>
      <c r="J401" s="5"/>
      <c r="K401" s="5"/>
      <c r="L401" s="1"/>
      <c r="M401" s="1"/>
      <c r="O401" s="24"/>
      <c r="P401" s="24"/>
      <c r="Q401" s="24"/>
      <c r="T401" s="16"/>
      <c r="U401" s="16"/>
      <c r="V401" s="16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spans="3:31" s="2" customFormat="1" ht="18" customHeight="1">
      <c r="C402" s="14"/>
      <c r="G402" s="15"/>
      <c r="H402" s="17"/>
      <c r="I402" s="23"/>
      <c r="J402" s="5"/>
      <c r="K402" s="5"/>
      <c r="L402" s="1"/>
      <c r="M402" s="1"/>
      <c r="O402" s="24"/>
      <c r="P402" s="24"/>
      <c r="Q402" s="24"/>
      <c r="T402" s="16"/>
      <c r="U402" s="16"/>
      <c r="V402" s="16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spans="3:31" s="2" customFormat="1" ht="18" customHeight="1">
      <c r="C403" s="14"/>
      <c r="G403" s="15"/>
      <c r="H403" s="17"/>
      <c r="I403" s="23"/>
      <c r="J403" s="5"/>
      <c r="K403" s="5"/>
      <c r="L403" s="1"/>
      <c r="M403" s="1"/>
      <c r="O403" s="24"/>
      <c r="P403" s="24"/>
      <c r="Q403" s="24"/>
      <c r="T403" s="16"/>
      <c r="U403" s="16"/>
      <c r="V403" s="16"/>
      <c r="W403" s="15"/>
      <c r="X403" s="15"/>
      <c r="Y403" s="15"/>
      <c r="Z403" s="15"/>
      <c r="AA403" s="15"/>
      <c r="AB403" s="15"/>
      <c r="AC403" s="15"/>
      <c r="AD403" s="15"/>
      <c r="AE403" s="15"/>
    </row>
    <row r="404" spans="3:31" s="2" customFormat="1" ht="18" customHeight="1">
      <c r="C404" s="14"/>
      <c r="G404" s="15"/>
      <c r="H404" s="17"/>
      <c r="I404" s="23"/>
      <c r="J404" s="5"/>
      <c r="K404" s="5"/>
      <c r="L404" s="1"/>
      <c r="M404" s="1"/>
      <c r="O404" s="24"/>
      <c r="P404" s="24"/>
      <c r="Q404" s="24"/>
      <c r="T404" s="16"/>
      <c r="U404" s="16"/>
      <c r="V404" s="16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spans="3:31" s="2" customFormat="1" ht="18" customHeight="1">
      <c r="C405" s="14"/>
      <c r="G405" s="15"/>
      <c r="H405" s="17"/>
      <c r="I405" s="23"/>
      <c r="J405" s="5"/>
      <c r="K405" s="5"/>
      <c r="L405" s="1"/>
      <c r="M405" s="1"/>
      <c r="O405" s="24"/>
      <c r="P405" s="24"/>
      <c r="Q405" s="24"/>
      <c r="T405" s="16"/>
      <c r="U405" s="16"/>
      <c r="V405" s="16"/>
      <c r="W405" s="15"/>
      <c r="X405" s="15"/>
      <c r="Y405" s="15"/>
      <c r="Z405" s="15"/>
      <c r="AA405" s="15"/>
      <c r="AB405" s="15"/>
      <c r="AC405" s="15"/>
      <c r="AD405" s="15"/>
      <c r="AE405" s="15"/>
    </row>
    <row r="406" spans="3:31" s="2" customFormat="1" ht="18" customHeight="1">
      <c r="C406" s="14"/>
      <c r="G406" s="15"/>
      <c r="H406" s="17"/>
      <c r="I406" s="23"/>
      <c r="J406" s="5"/>
      <c r="K406" s="5"/>
      <c r="L406" s="1"/>
      <c r="M406" s="1"/>
      <c r="O406" s="24"/>
      <c r="P406" s="24"/>
      <c r="Q406" s="24"/>
      <c r="T406" s="16"/>
      <c r="U406" s="16"/>
      <c r="V406" s="16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spans="3:31" s="2" customFormat="1" ht="18" customHeight="1">
      <c r="C407" s="14"/>
      <c r="G407" s="15"/>
      <c r="H407" s="17"/>
      <c r="I407" s="23"/>
      <c r="J407" s="5"/>
      <c r="K407" s="5"/>
      <c r="L407" s="1"/>
      <c r="M407" s="1"/>
      <c r="O407" s="24"/>
      <c r="P407" s="24"/>
      <c r="Q407" s="24"/>
      <c r="T407" s="16"/>
      <c r="U407" s="16"/>
      <c r="V407" s="16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spans="3:31" s="2" customFormat="1" ht="18" customHeight="1">
      <c r="C408" s="14"/>
      <c r="G408" s="15"/>
      <c r="H408" s="17"/>
      <c r="I408" s="23"/>
      <c r="J408" s="5"/>
      <c r="K408" s="5"/>
      <c r="L408" s="1"/>
      <c r="M408" s="1"/>
      <c r="O408" s="24"/>
      <c r="P408" s="24"/>
      <c r="Q408" s="24"/>
      <c r="T408" s="16"/>
      <c r="U408" s="16"/>
      <c r="V408" s="16"/>
      <c r="W408" s="15"/>
      <c r="X408" s="15"/>
      <c r="Y408" s="15"/>
      <c r="Z408" s="15"/>
      <c r="AA408" s="15"/>
      <c r="AB408" s="15"/>
      <c r="AC408" s="15"/>
      <c r="AD408" s="15"/>
      <c r="AE408" s="15"/>
    </row>
    <row r="409" spans="3:31" s="2" customFormat="1" ht="18" customHeight="1">
      <c r="C409" s="14"/>
      <c r="G409" s="15"/>
      <c r="H409" s="17"/>
      <c r="I409" s="23"/>
      <c r="J409" s="5"/>
      <c r="K409" s="5"/>
      <c r="L409" s="1"/>
      <c r="M409" s="1"/>
      <c r="O409" s="24"/>
      <c r="P409" s="24"/>
      <c r="Q409" s="24"/>
      <c r="T409" s="16"/>
      <c r="U409" s="16"/>
      <c r="V409" s="16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spans="3:31" s="2" customFormat="1" ht="18" customHeight="1">
      <c r="C410" s="14"/>
      <c r="G410" s="15"/>
      <c r="H410" s="17"/>
      <c r="I410" s="23"/>
      <c r="J410" s="5"/>
      <c r="K410" s="5"/>
      <c r="L410" s="1"/>
      <c r="M410" s="1"/>
      <c r="O410" s="24"/>
      <c r="P410" s="24"/>
      <c r="Q410" s="24"/>
      <c r="T410" s="16"/>
      <c r="U410" s="16"/>
      <c r="V410" s="16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spans="3:31" s="2" customFormat="1" ht="18" customHeight="1">
      <c r="C411" s="14"/>
      <c r="G411" s="15"/>
      <c r="H411" s="17"/>
      <c r="I411" s="23"/>
      <c r="J411" s="5"/>
      <c r="K411" s="5"/>
      <c r="L411" s="1"/>
      <c r="M411" s="1"/>
      <c r="O411" s="24"/>
      <c r="P411" s="24"/>
      <c r="Q411" s="24"/>
      <c r="T411" s="16"/>
      <c r="U411" s="16"/>
      <c r="V411" s="16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spans="3:31" s="2" customFormat="1" ht="18" customHeight="1">
      <c r="C412" s="14"/>
      <c r="G412" s="15"/>
      <c r="H412" s="17"/>
      <c r="I412" s="23"/>
      <c r="J412" s="5"/>
      <c r="K412" s="5"/>
      <c r="L412" s="1"/>
      <c r="M412" s="1"/>
      <c r="O412" s="24"/>
      <c r="P412" s="24"/>
      <c r="Q412" s="24"/>
      <c r="T412" s="16"/>
      <c r="U412" s="16"/>
      <c r="V412" s="16"/>
      <c r="W412" s="15"/>
      <c r="X412" s="15"/>
      <c r="Y412" s="15"/>
      <c r="Z412" s="15"/>
      <c r="AA412" s="15"/>
      <c r="AB412" s="15"/>
      <c r="AC412" s="15"/>
      <c r="AD412" s="15"/>
      <c r="AE412" s="15"/>
    </row>
    <row r="413" spans="3:31" s="2" customFormat="1" ht="18" customHeight="1">
      <c r="C413" s="14"/>
      <c r="G413" s="15"/>
      <c r="H413" s="17"/>
      <c r="I413" s="23"/>
      <c r="J413" s="5"/>
      <c r="K413" s="5"/>
      <c r="L413" s="1"/>
      <c r="M413" s="1"/>
      <c r="O413" s="24"/>
      <c r="P413" s="24"/>
      <c r="Q413" s="24"/>
      <c r="T413" s="16"/>
      <c r="U413" s="16"/>
      <c r="V413" s="16"/>
      <c r="W413" s="15"/>
      <c r="X413" s="15"/>
      <c r="Y413" s="15"/>
      <c r="Z413" s="15"/>
      <c r="AA413" s="15"/>
      <c r="AB413" s="15"/>
      <c r="AC413" s="15"/>
      <c r="AD413" s="15"/>
      <c r="AE413" s="15"/>
    </row>
    <row r="414" spans="3:31" s="2" customFormat="1" ht="18" customHeight="1">
      <c r="C414" s="14"/>
      <c r="G414" s="15"/>
      <c r="H414" s="17"/>
      <c r="I414" s="23"/>
      <c r="J414" s="5"/>
      <c r="K414" s="5"/>
      <c r="L414" s="1"/>
      <c r="M414" s="1"/>
      <c r="O414" s="24"/>
      <c r="P414" s="24"/>
      <c r="Q414" s="24"/>
      <c r="T414" s="16"/>
      <c r="U414" s="16"/>
      <c r="V414" s="16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spans="3:31" s="2" customFormat="1" ht="18" customHeight="1">
      <c r="C415" s="14"/>
      <c r="G415" s="15"/>
      <c r="H415" s="17"/>
      <c r="I415" s="23"/>
      <c r="J415" s="5"/>
      <c r="K415" s="5"/>
      <c r="L415" s="1"/>
      <c r="M415" s="1"/>
      <c r="O415" s="24"/>
      <c r="P415" s="24"/>
      <c r="Q415" s="24"/>
      <c r="T415" s="16"/>
      <c r="U415" s="16"/>
      <c r="V415" s="16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spans="3:31" s="2" customFormat="1" ht="18" customHeight="1">
      <c r="C416" s="14"/>
      <c r="G416" s="15"/>
      <c r="H416" s="17"/>
      <c r="I416" s="23"/>
      <c r="J416" s="5"/>
      <c r="K416" s="5"/>
      <c r="L416" s="1"/>
      <c r="M416" s="1"/>
      <c r="O416" s="24"/>
      <c r="P416" s="24"/>
      <c r="Q416" s="24"/>
      <c r="T416" s="16"/>
      <c r="U416" s="16"/>
      <c r="V416" s="16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spans="3:31" s="2" customFormat="1" ht="18" customHeight="1">
      <c r="C417" s="14"/>
      <c r="G417" s="15"/>
      <c r="H417" s="17"/>
      <c r="I417" s="23"/>
      <c r="J417" s="5"/>
      <c r="K417" s="5"/>
      <c r="L417" s="1"/>
      <c r="M417" s="1"/>
      <c r="O417" s="24"/>
      <c r="P417" s="24"/>
      <c r="Q417" s="24"/>
      <c r="T417" s="16"/>
      <c r="U417" s="16"/>
      <c r="V417" s="16"/>
      <c r="W417" s="15"/>
      <c r="X417" s="15"/>
      <c r="Y417" s="15"/>
      <c r="Z417" s="15"/>
      <c r="AA417" s="15"/>
      <c r="AB417" s="15"/>
      <c r="AC417" s="15"/>
      <c r="AD417" s="15"/>
      <c r="AE417" s="15"/>
    </row>
    <row r="418" spans="3:31" s="2" customFormat="1" ht="18" customHeight="1">
      <c r="C418" s="14"/>
      <c r="G418" s="15"/>
      <c r="H418" s="17"/>
      <c r="I418" s="23"/>
      <c r="J418" s="5"/>
      <c r="K418" s="5"/>
      <c r="L418" s="1"/>
      <c r="M418" s="1"/>
      <c r="O418" s="24"/>
      <c r="P418" s="24"/>
      <c r="Q418" s="24"/>
      <c r="T418" s="16"/>
      <c r="U418" s="16"/>
      <c r="V418" s="16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spans="3:31" s="2" customFormat="1" ht="18" customHeight="1">
      <c r="C419" s="14"/>
      <c r="G419" s="15"/>
      <c r="H419" s="17"/>
      <c r="I419" s="23"/>
      <c r="J419" s="5"/>
      <c r="K419" s="5"/>
      <c r="L419" s="1"/>
      <c r="M419" s="1"/>
      <c r="O419" s="24"/>
      <c r="P419" s="24"/>
      <c r="Q419" s="24"/>
      <c r="T419" s="16"/>
      <c r="U419" s="16"/>
      <c r="V419" s="16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spans="3:31" s="2" customFormat="1" ht="18" customHeight="1">
      <c r="C420" s="14"/>
      <c r="G420" s="15"/>
      <c r="H420" s="17"/>
      <c r="I420" s="23"/>
      <c r="J420" s="5"/>
      <c r="K420" s="5"/>
      <c r="L420" s="1"/>
      <c r="M420" s="1"/>
      <c r="O420" s="24"/>
      <c r="P420" s="24"/>
      <c r="Q420" s="24"/>
      <c r="T420" s="16"/>
      <c r="U420" s="16"/>
      <c r="V420" s="16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spans="3:31" s="2" customFormat="1" ht="18" customHeight="1">
      <c r="C421" s="14"/>
      <c r="G421" s="15"/>
      <c r="H421" s="17"/>
      <c r="I421" s="23"/>
      <c r="J421" s="5"/>
      <c r="K421" s="5"/>
      <c r="L421" s="1"/>
      <c r="M421" s="1"/>
      <c r="O421" s="24"/>
      <c r="P421" s="24"/>
      <c r="Q421" s="24"/>
      <c r="T421" s="16"/>
      <c r="U421" s="16"/>
      <c r="V421" s="16"/>
      <c r="W421" s="15"/>
      <c r="X421" s="15"/>
      <c r="Y421" s="15"/>
      <c r="Z421" s="15"/>
      <c r="AA421" s="15"/>
      <c r="AB421" s="15"/>
      <c r="AC421" s="15"/>
      <c r="AD421" s="15"/>
      <c r="AE421" s="15"/>
    </row>
    <row r="422" spans="3:31" s="2" customFormat="1" ht="18" customHeight="1">
      <c r="C422" s="14"/>
      <c r="G422" s="15"/>
      <c r="H422" s="17"/>
      <c r="I422" s="23"/>
      <c r="J422" s="5"/>
      <c r="K422" s="5"/>
      <c r="L422" s="1"/>
      <c r="M422" s="1"/>
      <c r="O422" s="24"/>
      <c r="P422" s="24"/>
      <c r="Q422" s="24"/>
      <c r="T422" s="16"/>
      <c r="U422" s="16"/>
      <c r="V422" s="16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spans="3:31" s="2" customFormat="1" ht="18" customHeight="1">
      <c r="C423" s="14"/>
      <c r="G423" s="15"/>
      <c r="H423" s="17"/>
      <c r="I423" s="23"/>
      <c r="J423" s="5"/>
      <c r="K423" s="5"/>
      <c r="L423" s="1"/>
      <c r="M423" s="1"/>
      <c r="O423" s="24"/>
      <c r="P423" s="24"/>
      <c r="Q423" s="24"/>
      <c r="T423" s="16"/>
      <c r="U423" s="16"/>
      <c r="V423" s="16"/>
      <c r="W423" s="15"/>
      <c r="X423" s="15"/>
      <c r="Y423" s="15"/>
      <c r="Z423" s="15"/>
      <c r="AA423" s="15"/>
      <c r="AB423" s="15"/>
      <c r="AC423" s="15"/>
      <c r="AD423" s="15"/>
      <c r="AE423" s="15"/>
    </row>
    <row r="424" spans="3:31" s="2" customFormat="1" ht="18" customHeight="1">
      <c r="C424" s="14"/>
      <c r="G424" s="15"/>
      <c r="H424" s="17"/>
      <c r="I424" s="23"/>
      <c r="J424" s="5"/>
      <c r="K424" s="5"/>
      <c r="L424" s="1"/>
      <c r="M424" s="1"/>
      <c r="O424" s="24"/>
      <c r="P424" s="24"/>
      <c r="Q424" s="24"/>
      <c r="T424" s="16"/>
      <c r="U424" s="16"/>
      <c r="V424" s="16"/>
      <c r="W424" s="15"/>
      <c r="X424" s="15"/>
      <c r="Y424" s="15"/>
      <c r="Z424" s="15"/>
      <c r="AA424" s="15"/>
      <c r="AB424" s="15"/>
      <c r="AC424" s="15"/>
      <c r="AD424" s="15"/>
      <c r="AE424" s="15"/>
    </row>
    <row r="425" spans="3:31" s="2" customFormat="1" ht="18" customHeight="1">
      <c r="C425" s="14"/>
      <c r="G425" s="15"/>
      <c r="H425" s="17"/>
      <c r="I425" s="23"/>
      <c r="J425" s="5"/>
      <c r="K425" s="5"/>
      <c r="L425" s="1"/>
      <c r="M425" s="1"/>
      <c r="O425" s="24"/>
      <c r="P425" s="24"/>
      <c r="Q425" s="24"/>
      <c r="T425" s="16"/>
      <c r="U425" s="16"/>
      <c r="V425" s="16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spans="3:31" s="2" customFormat="1" ht="18" customHeight="1">
      <c r="C426" s="14"/>
      <c r="G426" s="15"/>
      <c r="H426" s="17"/>
      <c r="I426" s="23"/>
      <c r="J426" s="5"/>
      <c r="K426" s="5"/>
      <c r="L426" s="1"/>
      <c r="M426" s="1"/>
      <c r="O426" s="24"/>
      <c r="P426" s="24"/>
      <c r="Q426" s="24"/>
      <c r="T426" s="16"/>
      <c r="U426" s="16"/>
      <c r="V426" s="16"/>
      <c r="W426" s="15"/>
      <c r="X426" s="15"/>
      <c r="Y426" s="15"/>
      <c r="Z426" s="15"/>
      <c r="AA426" s="15"/>
      <c r="AB426" s="15"/>
      <c r="AC426" s="15"/>
      <c r="AD426" s="15"/>
      <c r="AE426" s="15"/>
    </row>
    <row r="427" spans="3:31" s="2" customFormat="1" ht="18" customHeight="1">
      <c r="C427" s="14"/>
      <c r="G427" s="15"/>
      <c r="H427" s="17"/>
      <c r="I427" s="23"/>
      <c r="J427" s="5"/>
      <c r="K427" s="5"/>
      <c r="L427" s="1"/>
      <c r="M427" s="1"/>
      <c r="O427" s="24"/>
      <c r="P427" s="24"/>
      <c r="Q427" s="24"/>
      <c r="T427" s="16"/>
      <c r="U427" s="16"/>
      <c r="V427" s="16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spans="3:31" s="2" customFormat="1" ht="18" customHeight="1">
      <c r="C428" s="14"/>
      <c r="G428" s="15"/>
      <c r="H428" s="17"/>
      <c r="I428" s="23"/>
      <c r="J428" s="5"/>
      <c r="K428" s="5"/>
      <c r="L428" s="1"/>
      <c r="M428" s="1"/>
      <c r="O428" s="24"/>
      <c r="P428" s="24"/>
      <c r="Q428" s="24"/>
      <c r="T428" s="16"/>
      <c r="U428" s="16"/>
      <c r="V428" s="16"/>
      <c r="W428" s="15"/>
      <c r="X428" s="15"/>
      <c r="Y428" s="15"/>
      <c r="Z428" s="15"/>
      <c r="AA428" s="15"/>
      <c r="AB428" s="15"/>
      <c r="AC428" s="15"/>
      <c r="AD428" s="15"/>
      <c r="AE428" s="15"/>
    </row>
    <row r="429" spans="3:31" s="2" customFormat="1" ht="18" customHeight="1">
      <c r="C429" s="14"/>
      <c r="G429" s="15"/>
      <c r="H429" s="17"/>
      <c r="I429" s="23"/>
      <c r="J429" s="5"/>
      <c r="K429" s="5"/>
      <c r="L429" s="1"/>
      <c r="M429" s="1"/>
      <c r="O429" s="24"/>
      <c r="P429" s="24"/>
      <c r="Q429" s="24"/>
      <c r="T429" s="16"/>
      <c r="U429" s="16"/>
      <c r="V429" s="16"/>
      <c r="W429" s="15"/>
      <c r="X429" s="15"/>
      <c r="Y429" s="15"/>
      <c r="Z429" s="15"/>
      <c r="AA429" s="15"/>
      <c r="AB429" s="15"/>
      <c r="AC429" s="15"/>
      <c r="AD429" s="15"/>
      <c r="AE429" s="15"/>
    </row>
    <row r="430" spans="3:31" s="2" customFormat="1" ht="18" customHeight="1">
      <c r="C430" s="14"/>
      <c r="G430" s="15"/>
      <c r="H430" s="17"/>
      <c r="I430" s="23"/>
      <c r="J430" s="5"/>
      <c r="K430" s="5"/>
      <c r="L430" s="1"/>
      <c r="M430" s="1"/>
      <c r="O430" s="24"/>
      <c r="P430" s="24"/>
      <c r="Q430" s="24"/>
      <c r="T430" s="16"/>
      <c r="U430" s="16"/>
      <c r="V430" s="16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spans="3:31" s="2" customFormat="1" ht="18" customHeight="1">
      <c r="C431" s="14"/>
      <c r="G431" s="15"/>
      <c r="H431" s="17"/>
      <c r="I431" s="23"/>
      <c r="J431" s="5"/>
      <c r="K431" s="5"/>
      <c r="L431" s="1"/>
      <c r="M431" s="1"/>
      <c r="O431" s="24"/>
      <c r="P431" s="24"/>
      <c r="Q431" s="24"/>
      <c r="T431" s="16"/>
      <c r="U431" s="16"/>
      <c r="V431" s="16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spans="3:31" s="2" customFormat="1" ht="18" customHeight="1">
      <c r="C432" s="14"/>
      <c r="G432" s="15"/>
      <c r="H432" s="17"/>
      <c r="I432" s="23"/>
      <c r="J432" s="5"/>
      <c r="K432" s="5"/>
      <c r="L432" s="1"/>
      <c r="M432" s="1"/>
      <c r="O432" s="24"/>
      <c r="P432" s="24"/>
      <c r="Q432" s="24"/>
      <c r="T432" s="16"/>
      <c r="U432" s="16"/>
      <c r="V432" s="16"/>
      <c r="W432" s="15"/>
      <c r="X432" s="15"/>
      <c r="Y432" s="15"/>
      <c r="Z432" s="15"/>
      <c r="AA432" s="15"/>
      <c r="AB432" s="15"/>
      <c r="AC432" s="15"/>
      <c r="AD432" s="15"/>
      <c r="AE432" s="15"/>
    </row>
    <row r="433" spans="3:31" s="2" customFormat="1" ht="18" customHeight="1">
      <c r="C433" s="14"/>
      <c r="G433" s="15"/>
      <c r="H433" s="17"/>
      <c r="I433" s="23"/>
      <c r="J433" s="5"/>
      <c r="K433" s="5"/>
      <c r="L433" s="1"/>
      <c r="M433" s="1"/>
      <c r="O433" s="24"/>
      <c r="P433" s="24"/>
      <c r="Q433" s="24"/>
      <c r="T433" s="16"/>
      <c r="U433" s="16"/>
      <c r="V433" s="16"/>
      <c r="W433" s="15"/>
      <c r="X433" s="15"/>
      <c r="Y433" s="15"/>
      <c r="Z433" s="15"/>
      <c r="AA433" s="15"/>
      <c r="AB433" s="15"/>
      <c r="AC433" s="15"/>
      <c r="AD433" s="15"/>
      <c r="AE433" s="15"/>
    </row>
    <row r="434" spans="3:31" s="2" customFormat="1" ht="18" customHeight="1">
      <c r="C434" s="14"/>
      <c r="G434" s="15"/>
      <c r="H434" s="17"/>
      <c r="I434" s="23"/>
      <c r="J434" s="5"/>
      <c r="K434" s="5"/>
      <c r="L434" s="1"/>
      <c r="M434" s="1"/>
      <c r="O434" s="24"/>
      <c r="P434" s="24"/>
      <c r="Q434" s="24"/>
      <c r="T434" s="16"/>
      <c r="U434" s="16"/>
      <c r="V434" s="16"/>
      <c r="W434" s="15"/>
      <c r="X434" s="15"/>
      <c r="Y434" s="15"/>
      <c r="Z434" s="15"/>
      <c r="AA434" s="15"/>
      <c r="AB434" s="15"/>
      <c r="AC434" s="15"/>
      <c r="AD434" s="15"/>
      <c r="AE434" s="15"/>
    </row>
    <row r="435" spans="3:31" s="2" customFormat="1" ht="18" customHeight="1">
      <c r="C435" s="14"/>
      <c r="G435" s="15"/>
      <c r="H435" s="17"/>
      <c r="I435" s="23"/>
      <c r="J435" s="5"/>
      <c r="K435" s="5"/>
      <c r="L435" s="1"/>
      <c r="M435" s="1"/>
      <c r="O435" s="24"/>
      <c r="P435" s="24"/>
      <c r="Q435" s="24"/>
      <c r="T435" s="16"/>
      <c r="U435" s="16"/>
      <c r="V435" s="16"/>
      <c r="W435" s="15"/>
      <c r="X435" s="15"/>
      <c r="Y435" s="15"/>
      <c r="Z435" s="15"/>
      <c r="AA435" s="15"/>
      <c r="AB435" s="15"/>
      <c r="AC435" s="15"/>
      <c r="AD435" s="15"/>
      <c r="AE435" s="15"/>
    </row>
    <row r="436" spans="3:31" s="2" customFormat="1" ht="18" customHeight="1">
      <c r="C436" s="14"/>
      <c r="G436" s="15"/>
      <c r="H436" s="17"/>
      <c r="I436" s="23"/>
      <c r="J436" s="5"/>
      <c r="K436" s="5"/>
      <c r="L436" s="1"/>
      <c r="M436" s="1"/>
      <c r="O436" s="24"/>
      <c r="P436" s="24"/>
      <c r="Q436" s="24"/>
      <c r="T436" s="16"/>
      <c r="U436" s="16"/>
      <c r="V436" s="16"/>
      <c r="W436" s="15"/>
      <c r="X436" s="15"/>
      <c r="Y436" s="15"/>
      <c r="Z436" s="15"/>
      <c r="AA436" s="15"/>
      <c r="AB436" s="15"/>
      <c r="AC436" s="15"/>
      <c r="AD436" s="15"/>
      <c r="AE436" s="15"/>
    </row>
    <row r="437" spans="3:31" s="2" customFormat="1" ht="18" customHeight="1">
      <c r="C437" s="14"/>
      <c r="G437" s="15"/>
      <c r="H437" s="17"/>
      <c r="I437" s="23"/>
      <c r="J437" s="5"/>
      <c r="K437" s="5"/>
      <c r="L437" s="1"/>
      <c r="M437" s="1"/>
      <c r="O437" s="24"/>
      <c r="P437" s="24"/>
      <c r="Q437" s="24"/>
      <c r="T437" s="16"/>
      <c r="U437" s="16"/>
      <c r="V437" s="16"/>
      <c r="W437" s="15"/>
      <c r="X437" s="15"/>
      <c r="Y437" s="15"/>
      <c r="Z437" s="15"/>
      <c r="AA437" s="15"/>
      <c r="AB437" s="15"/>
      <c r="AC437" s="15"/>
      <c r="AD437" s="15"/>
      <c r="AE437" s="15"/>
    </row>
    <row r="438" spans="3:31" s="2" customFormat="1" ht="18" customHeight="1">
      <c r="C438" s="14"/>
      <c r="G438" s="15"/>
      <c r="H438" s="17"/>
      <c r="I438" s="23"/>
      <c r="J438" s="5"/>
      <c r="K438" s="5"/>
      <c r="L438" s="1"/>
      <c r="M438" s="1"/>
      <c r="O438" s="24"/>
      <c r="P438" s="24"/>
      <c r="Q438" s="24"/>
      <c r="T438" s="16"/>
      <c r="U438" s="16"/>
      <c r="V438" s="16"/>
      <c r="W438" s="15"/>
      <c r="X438" s="15"/>
      <c r="Y438" s="15"/>
      <c r="Z438" s="15"/>
      <c r="AA438" s="15"/>
      <c r="AB438" s="15"/>
      <c r="AC438" s="15"/>
      <c r="AD438" s="15"/>
      <c r="AE438" s="15"/>
    </row>
    <row r="439" spans="3:31" s="2" customFormat="1" ht="18" customHeight="1">
      <c r="C439" s="14"/>
      <c r="G439" s="15"/>
      <c r="H439" s="17"/>
      <c r="I439" s="23"/>
      <c r="J439" s="5"/>
      <c r="K439" s="5"/>
      <c r="L439" s="1"/>
      <c r="M439" s="1"/>
      <c r="O439" s="24"/>
      <c r="P439" s="24"/>
      <c r="Q439" s="24"/>
      <c r="T439" s="16"/>
      <c r="U439" s="16"/>
      <c r="V439" s="16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spans="3:31" s="2" customFormat="1" ht="18" customHeight="1">
      <c r="C440" s="14"/>
      <c r="G440" s="15"/>
      <c r="H440" s="17"/>
      <c r="I440" s="23"/>
      <c r="J440" s="5"/>
      <c r="K440" s="5"/>
      <c r="L440" s="1"/>
      <c r="M440" s="1"/>
      <c r="O440" s="24"/>
      <c r="P440" s="24"/>
      <c r="Q440" s="24"/>
      <c r="T440" s="16"/>
      <c r="U440" s="16"/>
      <c r="V440" s="16"/>
      <c r="W440" s="15"/>
      <c r="X440" s="15"/>
      <c r="Y440" s="15"/>
      <c r="Z440" s="15"/>
      <c r="AA440" s="15"/>
      <c r="AB440" s="15"/>
      <c r="AC440" s="15"/>
      <c r="AD440" s="15"/>
      <c r="AE440" s="15"/>
    </row>
    <row r="441" spans="3:31" s="2" customFormat="1" ht="18" customHeight="1">
      <c r="C441" s="14"/>
      <c r="G441" s="15"/>
      <c r="H441" s="17"/>
      <c r="I441" s="23"/>
      <c r="J441" s="5"/>
      <c r="K441" s="5"/>
      <c r="L441" s="1"/>
      <c r="M441" s="1"/>
      <c r="O441" s="24"/>
      <c r="P441" s="24"/>
      <c r="Q441" s="24"/>
      <c r="T441" s="16"/>
      <c r="U441" s="16"/>
      <c r="V441" s="16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spans="3:31" s="2" customFormat="1" ht="18" customHeight="1">
      <c r="C442" s="14"/>
      <c r="G442" s="15"/>
      <c r="H442" s="17"/>
      <c r="I442" s="23"/>
      <c r="J442" s="5"/>
      <c r="K442" s="5"/>
      <c r="L442" s="1"/>
      <c r="M442" s="1"/>
      <c r="O442" s="24"/>
      <c r="P442" s="24"/>
      <c r="Q442" s="24"/>
      <c r="T442" s="16"/>
      <c r="U442" s="16"/>
      <c r="V442" s="16"/>
      <c r="W442" s="15"/>
      <c r="X442" s="15"/>
      <c r="Y442" s="15"/>
      <c r="Z442" s="15"/>
      <c r="AA442" s="15"/>
      <c r="AB442" s="15"/>
      <c r="AC442" s="15"/>
      <c r="AD442" s="15"/>
      <c r="AE442" s="15"/>
    </row>
    <row r="443" spans="3:31" s="2" customFormat="1" ht="18" customHeight="1">
      <c r="C443" s="14"/>
      <c r="G443" s="15"/>
      <c r="H443" s="17"/>
      <c r="I443" s="23"/>
      <c r="J443" s="5"/>
      <c r="K443" s="5"/>
      <c r="L443" s="1"/>
      <c r="M443" s="1"/>
      <c r="O443" s="24"/>
      <c r="P443" s="24"/>
      <c r="Q443" s="24"/>
      <c r="T443" s="16"/>
      <c r="U443" s="16"/>
      <c r="V443" s="16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spans="3:31" s="2" customFormat="1" ht="18" customHeight="1">
      <c r="C444" s="14"/>
      <c r="G444" s="15"/>
      <c r="H444" s="17"/>
      <c r="I444" s="23"/>
      <c r="J444" s="5"/>
      <c r="K444" s="5"/>
      <c r="L444" s="1"/>
      <c r="M444" s="1"/>
      <c r="O444" s="24"/>
      <c r="P444" s="24"/>
      <c r="Q444" s="24"/>
      <c r="T444" s="16"/>
      <c r="U444" s="16"/>
      <c r="V444" s="16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spans="3:31" s="2" customFormat="1" ht="18" customHeight="1">
      <c r="C445" s="14"/>
      <c r="G445" s="15"/>
      <c r="H445" s="17"/>
      <c r="I445" s="23"/>
      <c r="J445" s="5"/>
      <c r="K445" s="5"/>
      <c r="L445" s="1"/>
      <c r="M445" s="1"/>
      <c r="O445" s="24"/>
      <c r="P445" s="24"/>
      <c r="Q445" s="24"/>
      <c r="T445" s="16"/>
      <c r="U445" s="16"/>
      <c r="V445" s="16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spans="3:31" s="2" customFormat="1" ht="18" customHeight="1">
      <c r="C446" s="14"/>
      <c r="G446" s="15"/>
      <c r="H446" s="17"/>
      <c r="I446" s="23"/>
      <c r="J446" s="5"/>
      <c r="K446" s="5"/>
      <c r="L446" s="1"/>
      <c r="M446" s="1"/>
      <c r="O446" s="24"/>
      <c r="P446" s="24"/>
      <c r="Q446" s="24"/>
      <c r="T446" s="16"/>
      <c r="U446" s="16"/>
      <c r="V446" s="16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spans="3:31" s="2" customFormat="1" ht="18" customHeight="1">
      <c r="C447" s="14"/>
      <c r="G447" s="15"/>
      <c r="H447" s="17"/>
      <c r="I447" s="23"/>
      <c r="J447" s="5"/>
      <c r="K447" s="5"/>
      <c r="L447" s="1"/>
      <c r="M447" s="1"/>
      <c r="O447" s="24"/>
      <c r="P447" s="24"/>
      <c r="Q447" s="24"/>
      <c r="T447" s="16"/>
      <c r="U447" s="16"/>
      <c r="V447" s="16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spans="3:31" s="2" customFormat="1" ht="18" customHeight="1">
      <c r="C448" s="14"/>
      <c r="G448" s="15"/>
      <c r="H448" s="17"/>
      <c r="I448" s="23"/>
      <c r="J448" s="5"/>
      <c r="K448" s="5"/>
      <c r="L448" s="1"/>
      <c r="M448" s="1"/>
      <c r="O448" s="24"/>
      <c r="P448" s="24"/>
      <c r="Q448" s="24"/>
      <c r="T448" s="16"/>
      <c r="U448" s="16"/>
      <c r="V448" s="16"/>
      <c r="W448" s="15"/>
      <c r="X448" s="15"/>
      <c r="Y448" s="15"/>
      <c r="Z448" s="15"/>
      <c r="AA448" s="15"/>
      <c r="AB448" s="15"/>
      <c r="AC448" s="15"/>
      <c r="AD448" s="15"/>
      <c r="AE448" s="15"/>
    </row>
    <row r="449" spans="3:31" s="2" customFormat="1" ht="18" customHeight="1">
      <c r="C449" s="14"/>
      <c r="G449" s="15"/>
      <c r="H449" s="17"/>
      <c r="I449" s="23"/>
      <c r="J449" s="5"/>
      <c r="K449" s="5"/>
      <c r="L449" s="1"/>
      <c r="M449" s="1"/>
      <c r="O449" s="24"/>
      <c r="P449" s="24"/>
      <c r="Q449" s="24"/>
      <c r="T449" s="16"/>
      <c r="U449" s="16"/>
      <c r="V449" s="16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spans="3:31" s="2" customFormat="1" ht="18" customHeight="1">
      <c r="C450" s="14"/>
      <c r="G450" s="15"/>
      <c r="H450" s="17"/>
      <c r="I450" s="23"/>
      <c r="J450" s="5"/>
      <c r="K450" s="5"/>
      <c r="L450" s="1"/>
      <c r="M450" s="1"/>
      <c r="O450" s="24"/>
      <c r="P450" s="24"/>
      <c r="Q450" s="24"/>
      <c r="T450" s="16"/>
      <c r="U450" s="16"/>
      <c r="V450" s="16"/>
      <c r="W450" s="15"/>
      <c r="X450" s="15"/>
      <c r="Y450" s="15"/>
      <c r="Z450" s="15"/>
      <c r="AA450" s="15"/>
      <c r="AB450" s="15"/>
      <c r="AC450" s="15"/>
      <c r="AD450" s="15"/>
      <c r="AE450" s="15"/>
    </row>
    <row r="451" spans="3:31" s="2" customFormat="1" ht="18" customHeight="1">
      <c r="C451" s="14"/>
      <c r="G451" s="15"/>
      <c r="H451" s="17"/>
      <c r="I451" s="23"/>
      <c r="J451" s="5"/>
      <c r="K451" s="5"/>
      <c r="L451" s="1"/>
      <c r="M451" s="1"/>
      <c r="O451" s="24"/>
      <c r="P451" s="24"/>
      <c r="Q451" s="24"/>
      <c r="T451" s="16"/>
      <c r="U451" s="16"/>
      <c r="V451" s="16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spans="3:31" s="2" customFormat="1" ht="18" customHeight="1">
      <c r="C452" s="14"/>
      <c r="G452" s="15"/>
      <c r="H452" s="17"/>
      <c r="I452" s="23"/>
      <c r="J452" s="5"/>
      <c r="K452" s="5"/>
      <c r="L452" s="1"/>
      <c r="M452" s="1"/>
      <c r="O452" s="24"/>
      <c r="P452" s="24"/>
      <c r="Q452" s="24"/>
      <c r="T452" s="16"/>
      <c r="U452" s="16"/>
      <c r="V452" s="16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spans="3:31" s="2" customFormat="1" ht="18" customHeight="1">
      <c r="C453" s="14"/>
      <c r="G453" s="15"/>
      <c r="H453" s="17"/>
      <c r="I453" s="23"/>
      <c r="J453" s="5"/>
      <c r="K453" s="5"/>
      <c r="L453" s="1"/>
      <c r="M453" s="1"/>
      <c r="O453" s="24"/>
      <c r="P453" s="24"/>
      <c r="Q453" s="24"/>
      <c r="T453" s="16"/>
      <c r="U453" s="16"/>
      <c r="V453" s="16"/>
      <c r="W453" s="15"/>
      <c r="X453" s="15"/>
      <c r="Y453" s="15"/>
      <c r="Z453" s="15"/>
      <c r="AA453" s="15"/>
      <c r="AB453" s="15"/>
      <c r="AC453" s="15"/>
      <c r="AD453" s="15"/>
      <c r="AE453" s="15"/>
    </row>
    <row r="454" spans="3:31" s="2" customFormat="1" ht="18" customHeight="1">
      <c r="C454" s="14"/>
      <c r="G454" s="15"/>
      <c r="H454" s="17"/>
      <c r="I454" s="23"/>
      <c r="J454" s="5"/>
      <c r="K454" s="5"/>
      <c r="L454" s="1"/>
      <c r="M454" s="1"/>
      <c r="O454" s="24"/>
      <c r="P454" s="24"/>
      <c r="Q454" s="24"/>
      <c r="T454" s="16"/>
      <c r="U454" s="16"/>
      <c r="V454" s="16"/>
      <c r="W454" s="15"/>
      <c r="X454" s="15"/>
      <c r="Y454" s="15"/>
      <c r="Z454" s="15"/>
      <c r="AA454" s="15"/>
      <c r="AB454" s="15"/>
      <c r="AC454" s="15"/>
      <c r="AD454" s="15"/>
      <c r="AE454" s="15"/>
    </row>
    <row r="455" spans="3:31" s="2" customFormat="1" ht="18" customHeight="1">
      <c r="C455" s="14"/>
      <c r="G455" s="15"/>
      <c r="H455" s="17"/>
      <c r="I455" s="23"/>
      <c r="J455" s="5"/>
      <c r="K455" s="5"/>
      <c r="L455" s="1"/>
      <c r="M455" s="1"/>
      <c r="O455" s="24"/>
      <c r="P455" s="24"/>
      <c r="Q455" s="24"/>
      <c r="T455" s="16"/>
      <c r="U455" s="16"/>
      <c r="V455" s="16"/>
      <c r="W455" s="15"/>
      <c r="X455" s="15"/>
      <c r="Y455" s="15"/>
      <c r="Z455" s="15"/>
      <c r="AA455" s="15"/>
      <c r="AB455" s="15"/>
      <c r="AC455" s="15"/>
      <c r="AD455" s="15"/>
      <c r="AE455" s="15"/>
    </row>
    <row r="456" spans="3:31" s="2" customFormat="1" ht="18" customHeight="1">
      <c r="C456" s="14"/>
      <c r="G456" s="15"/>
      <c r="H456" s="17"/>
      <c r="I456" s="23"/>
      <c r="J456" s="5"/>
      <c r="K456" s="5"/>
      <c r="L456" s="1"/>
      <c r="M456" s="1"/>
      <c r="O456" s="24"/>
      <c r="P456" s="24"/>
      <c r="Q456" s="24"/>
      <c r="T456" s="16"/>
      <c r="U456" s="16"/>
      <c r="V456" s="16"/>
      <c r="W456" s="15"/>
      <c r="X456" s="15"/>
      <c r="Y456" s="15"/>
      <c r="Z456" s="15"/>
      <c r="AA456" s="15"/>
      <c r="AB456" s="15"/>
      <c r="AC456" s="15"/>
      <c r="AD456" s="15"/>
      <c r="AE456" s="15"/>
    </row>
    <row r="457" spans="3:31" s="2" customFormat="1" ht="18" customHeight="1">
      <c r="C457" s="14"/>
      <c r="G457" s="15"/>
      <c r="H457" s="17"/>
      <c r="I457" s="23"/>
      <c r="J457" s="5"/>
      <c r="K457" s="5"/>
      <c r="L457" s="1"/>
      <c r="M457" s="1"/>
      <c r="O457" s="24"/>
      <c r="P457" s="24"/>
      <c r="Q457" s="24"/>
      <c r="T457" s="16"/>
      <c r="U457" s="16"/>
      <c r="V457" s="16"/>
      <c r="W457" s="15"/>
      <c r="X457" s="15"/>
      <c r="Y457" s="15"/>
      <c r="Z457" s="15"/>
      <c r="AA457" s="15"/>
      <c r="AB457" s="15"/>
      <c r="AC457" s="15"/>
      <c r="AD457" s="15"/>
      <c r="AE457" s="15"/>
    </row>
    <row r="458" spans="3:31" s="2" customFormat="1" ht="18" customHeight="1">
      <c r="C458" s="14"/>
      <c r="G458" s="15"/>
      <c r="H458" s="17"/>
      <c r="I458" s="23"/>
      <c r="J458" s="5"/>
      <c r="K458" s="5"/>
      <c r="L458" s="1"/>
      <c r="M458" s="1"/>
      <c r="O458" s="24"/>
      <c r="P458" s="24"/>
      <c r="Q458" s="24"/>
      <c r="T458" s="16"/>
      <c r="U458" s="16"/>
      <c r="V458" s="16"/>
      <c r="W458" s="15"/>
      <c r="X458" s="15"/>
      <c r="Y458" s="15"/>
      <c r="Z458" s="15"/>
      <c r="AA458" s="15"/>
      <c r="AB458" s="15"/>
      <c r="AC458" s="15"/>
      <c r="AD458" s="15"/>
      <c r="AE458" s="15"/>
    </row>
    <row r="459" spans="3:31" s="2" customFormat="1" ht="18" customHeight="1">
      <c r="C459" s="14"/>
      <c r="G459" s="15"/>
      <c r="H459" s="17"/>
      <c r="I459" s="23"/>
      <c r="J459" s="5"/>
      <c r="K459" s="5"/>
      <c r="L459" s="1"/>
      <c r="M459" s="1"/>
      <c r="O459" s="24"/>
      <c r="P459" s="24"/>
      <c r="Q459" s="24"/>
      <c r="T459" s="16"/>
      <c r="U459" s="16"/>
      <c r="V459" s="16"/>
      <c r="W459" s="15"/>
      <c r="X459" s="15"/>
      <c r="Y459" s="15"/>
      <c r="Z459" s="15"/>
      <c r="AA459" s="15"/>
      <c r="AB459" s="15"/>
      <c r="AC459" s="15"/>
      <c r="AD459" s="15"/>
      <c r="AE459" s="15"/>
    </row>
    <row r="460" spans="3:31" s="2" customFormat="1" ht="18" customHeight="1">
      <c r="C460" s="14"/>
      <c r="G460" s="15"/>
      <c r="H460" s="17"/>
      <c r="I460" s="23"/>
      <c r="J460" s="5"/>
      <c r="K460" s="5"/>
      <c r="L460" s="1"/>
      <c r="M460" s="1"/>
      <c r="O460" s="24"/>
      <c r="P460" s="24"/>
      <c r="Q460" s="24"/>
      <c r="T460" s="16"/>
      <c r="U460" s="16"/>
      <c r="V460" s="16"/>
      <c r="W460" s="15"/>
      <c r="X460" s="15"/>
      <c r="Y460" s="15"/>
      <c r="Z460" s="15"/>
      <c r="AA460" s="15"/>
      <c r="AB460" s="15"/>
      <c r="AC460" s="15"/>
      <c r="AD460" s="15"/>
      <c r="AE460" s="15"/>
    </row>
    <row r="461" spans="3:31" s="2" customFormat="1" ht="18" customHeight="1">
      <c r="C461" s="14"/>
      <c r="G461" s="15"/>
      <c r="H461" s="17"/>
      <c r="I461" s="23"/>
      <c r="J461" s="5"/>
      <c r="K461" s="5"/>
      <c r="L461" s="1"/>
      <c r="M461" s="1"/>
      <c r="O461" s="24"/>
      <c r="P461" s="24"/>
      <c r="Q461" s="24"/>
      <c r="T461" s="16"/>
      <c r="U461" s="16"/>
      <c r="V461" s="16"/>
      <c r="W461" s="15"/>
      <c r="X461" s="15"/>
      <c r="Y461" s="15"/>
      <c r="Z461" s="15"/>
      <c r="AA461" s="15"/>
      <c r="AB461" s="15"/>
      <c r="AC461" s="15"/>
      <c r="AD461" s="15"/>
      <c r="AE461" s="15"/>
    </row>
    <row r="462" spans="3:31" s="2" customFormat="1" ht="18" customHeight="1">
      <c r="C462" s="14"/>
      <c r="G462" s="15"/>
      <c r="H462" s="17"/>
      <c r="I462" s="23"/>
      <c r="J462" s="5"/>
      <c r="K462" s="5"/>
      <c r="L462" s="1"/>
      <c r="M462" s="1"/>
      <c r="O462" s="24"/>
      <c r="P462" s="24"/>
      <c r="Q462" s="24"/>
      <c r="T462" s="16"/>
      <c r="U462" s="16"/>
      <c r="V462" s="16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spans="3:31" s="2" customFormat="1" ht="18" customHeight="1">
      <c r="C463" s="14"/>
      <c r="G463" s="15"/>
      <c r="H463" s="17"/>
      <c r="I463" s="23"/>
      <c r="J463" s="5"/>
      <c r="K463" s="5"/>
      <c r="L463" s="1"/>
      <c r="M463" s="1"/>
      <c r="O463" s="24"/>
      <c r="P463" s="24"/>
      <c r="Q463" s="24"/>
      <c r="T463" s="16"/>
      <c r="U463" s="16"/>
      <c r="V463" s="16"/>
      <c r="W463" s="15"/>
      <c r="X463" s="15"/>
      <c r="Y463" s="15"/>
      <c r="Z463" s="15"/>
      <c r="AA463" s="15"/>
      <c r="AB463" s="15"/>
      <c r="AC463" s="15"/>
      <c r="AD463" s="15"/>
      <c r="AE463" s="15"/>
    </row>
    <row r="464" spans="3:31" s="2" customFormat="1" ht="18" customHeight="1">
      <c r="C464" s="14"/>
      <c r="G464" s="15"/>
      <c r="H464" s="17"/>
      <c r="I464" s="23"/>
      <c r="J464" s="5"/>
      <c r="K464" s="5"/>
      <c r="L464" s="1"/>
      <c r="M464" s="1"/>
      <c r="O464" s="24"/>
      <c r="P464" s="24"/>
      <c r="Q464" s="24"/>
      <c r="T464" s="16"/>
      <c r="U464" s="16"/>
      <c r="V464" s="16"/>
      <c r="W464" s="15"/>
      <c r="X464" s="15"/>
      <c r="Y464" s="15"/>
      <c r="Z464" s="15"/>
      <c r="AA464" s="15"/>
      <c r="AB464" s="15"/>
      <c r="AC464" s="15"/>
      <c r="AD464" s="15"/>
      <c r="AE464" s="15"/>
    </row>
    <row r="465" spans="3:31" s="2" customFormat="1" ht="18" customHeight="1">
      <c r="C465" s="14"/>
      <c r="G465" s="15"/>
      <c r="H465" s="17"/>
      <c r="I465" s="23"/>
      <c r="J465" s="5"/>
      <c r="K465" s="5"/>
      <c r="L465" s="1"/>
      <c r="M465" s="1"/>
      <c r="O465" s="24"/>
      <c r="P465" s="24"/>
      <c r="Q465" s="24"/>
      <c r="T465" s="16"/>
      <c r="U465" s="16"/>
      <c r="V465" s="16"/>
      <c r="W465" s="15"/>
      <c r="X465" s="15"/>
      <c r="Y465" s="15"/>
      <c r="Z465" s="15"/>
      <c r="AA465" s="15"/>
      <c r="AB465" s="15"/>
      <c r="AC465" s="15"/>
      <c r="AD465" s="15"/>
      <c r="AE465" s="15"/>
    </row>
    <row r="466" spans="3:31" s="2" customFormat="1" ht="18" customHeight="1">
      <c r="C466" s="14"/>
      <c r="G466" s="15"/>
      <c r="H466" s="17"/>
      <c r="I466" s="23"/>
      <c r="J466" s="5"/>
      <c r="K466" s="5"/>
      <c r="L466" s="1"/>
      <c r="M466" s="1"/>
      <c r="O466" s="24"/>
      <c r="P466" s="24"/>
      <c r="Q466" s="24"/>
      <c r="T466" s="16"/>
      <c r="U466" s="16"/>
      <c r="V466" s="16"/>
      <c r="W466" s="15"/>
      <c r="X466" s="15"/>
      <c r="Y466" s="15"/>
      <c r="Z466" s="15"/>
      <c r="AA466" s="15"/>
      <c r="AB466" s="15"/>
      <c r="AC466" s="15"/>
      <c r="AD466" s="15"/>
      <c r="AE466" s="15"/>
    </row>
    <row r="467" spans="3:31" s="2" customFormat="1" ht="18" customHeight="1">
      <c r="C467" s="14"/>
      <c r="G467" s="15"/>
      <c r="H467" s="17"/>
      <c r="I467" s="23"/>
      <c r="J467" s="5"/>
      <c r="K467" s="5"/>
      <c r="L467" s="1"/>
      <c r="M467" s="1"/>
      <c r="O467" s="24"/>
      <c r="P467" s="24"/>
      <c r="Q467" s="24"/>
      <c r="T467" s="16"/>
      <c r="U467" s="16"/>
      <c r="V467" s="16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spans="3:31" s="2" customFormat="1" ht="18" customHeight="1">
      <c r="C468" s="14"/>
      <c r="G468" s="15"/>
      <c r="H468" s="17"/>
      <c r="I468" s="23"/>
      <c r="J468" s="5"/>
      <c r="K468" s="5"/>
      <c r="L468" s="1"/>
      <c r="M468" s="1"/>
      <c r="O468" s="24"/>
      <c r="P468" s="24"/>
      <c r="Q468" s="24"/>
      <c r="T468" s="16"/>
      <c r="U468" s="16"/>
      <c r="V468" s="16"/>
      <c r="W468" s="15"/>
      <c r="X468" s="15"/>
      <c r="Y468" s="15"/>
      <c r="Z468" s="15"/>
      <c r="AA468" s="15"/>
      <c r="AB468" s="15"/>
      <c r="AC468" s="15"/>
      <c r="AD468" s="15"/>
      <c r="AE468" s="15"/>
    </row>
    <row r="469" spans="3:31" s="2" customFormat="1" ht="18" customHeight="1">
      <c r="C469" s="14"/>
      <c r="G469" s="15"/>
      <c r="H469" s="17"/>
      <c r="I469" s="23"/>
      <c r="J469" s="5"/>
      <c r="K469" s="5"/>
      <c r="L469" s="1"/>
      <c r="M469" s="1"/>
      <c r="O469" s="24"/>
      <c r="P469" s="24"/>
      <c r="Q469" s="24"/>
      <c r="T469" s="16"/>
      <c r="U469" s="16"/>
      <c r="V469" s="16"/>
      <c r="W469" s="15"/>
      <c r="X469" s="15"/>
      <c r="Y469" s="15"/>
      <c r="Z469" s="15"/>
      <c r="AA469" s="15"/>
      <c r="AB469" s="15"/>
      <c r="AC469" s="15"/>
      <c r="AD469" s="15"/>
      <c r="AE469" s="15"/>
    </row>
    <row r="470" spans="3:31" s="2" customFormat="1" ht="18" customHeight="1">
      <c r="C470" s="14"/>
      <c r="G470" s="15"/>
      <c r="H470" s="17"/>
      <c r="I470" s="23"/>
      <c r="J470" s="5"/>
      <c r="K470" s="5"/>
      <c r="L470" s="1"/>
      <c r="M470" s="1"/>
      <c r="O470" s="24"/>
      <c r="P470" s="24"/>
      <c r="Q470" s="24"/>
      <c r="T470" s="16"/>
      <c r="U470" s="16"/>
      <c r="V470" s="16"/>
      <c r="W470" s="15"/>
      <c r="X470" s="15"/>
      <c r="Y470" s="15"/>
      <c r="Z470" s="15"/>
      <c r="AA470" s="15"/>
      <c r="AB470" s="15"/>
      <c r="AC470" s="15"/>
      <c r="AD470" s="15"/>
      <c r="AE470" s="15"/>
    </row>
    <row r="471" spans="3:31" s="2" customFormat="1" ht="18" customHeight="1">
      <c r="C471" s="14"/>
      <c r="G471" s="15"/>
      <c r="H471" s="17"/>
      <c r="I471" s="23"/>
      <c r="J471" s="5"/>
      <c r="K471" s="5"/>
      <c r="L471" s="1"/>
      <c r="M471" s="1"/>
      <c r="O471" s="24"/>
      <c r="P471" s="24"/>
      <c r="Q471" s="24"/>
      <c r="T471" s="16"/>
      <c r="U471" s="16"/>
      <c r="V471" s="16"/>
      <c r="W471" s="15"/>
      <c r="X471" s="15"/>
      <c r="Y471" s="15"/>
      <c r="Z471" s="15"/>
      <c r="AA471" s="15"/>
      <c r="AB471" s="15"/>
      <c r="AC471" s="15"/>
      <c r="AD471" s="15"/>
      <c r="AE471" s="15"/>
    </row>
    <row r="472" spans="3:31" s="2" customFormat="1" ht="18" customHeight="1">
      <c r="C472" s="14"/>
      <c r="G472" s="15"/>
      <c r="H472" s="17"/>
      <c r="I472" s="23"/>
      <c r="J472" s="5"/>
      <c r="K472" s="5"/>
      <c r="L472" s="1"/>
      <c r="M472" s="1"/>
      <c r="O472" s="24"/>
      <c r="P472" s="24"/>
      <c r="Q472" s="24"/>
      <c r="T472" s="16"/>
      <c r="U472" s="16"/>
      <c r="V472" s="16"/>
      <c r="W472" s="15"/>
      <c r="X472" s="15"/>
      <c r="Y472" s="15"/>
      <c r="Z472" s="15"/>
      <c r="AA472" s="15"/>
      <c r="AB472" s="15"/>
      <c r="AC472" s="15"/>
      <c r="AD472" s="15"/>
      <c r="AE472" s="15"/>
    </row>
    <row r="473" spans="3:31" s="2" customFormat="1" ht="18" customHeight="1">
      <c r="C473" s="14"/>
      <c r="G473" s="15"/>
      <c r="H473" s="17"/>
      <c r="I473" s="23"/>
      <c r="J473" s="5"/>
      <c r="K473" s="5"/>
      <c r="L473" s="1"/>
      <c r="M473" s="1"/>
      <c r="O473" s="24"/>
      <c r="P473" s="24"/>
      <c r="Q473" s="24"/>
      <c r="T473" s="16"/>
      <c r="U473" s="16"/>
      <c r="V473" s="16"/>
      <c r="W473" s="15"/>
      <c r="X473" s="15"/>
      <c r="Y473" s="15"/>
      <c r="Z473" s="15"/>
      <c r="AA473" s="15"/>
      <c r="AB473" s="15"/>
      <c r="AC473" s="15"/>
      <c r="AD473" s="15"/>
      <c r="AE473" s="15"/>
    </row>
    <row r="474" spans="3:31" s="2" customFormat="1" ht="18" customHeight="1">
      <c r="C474" s="14"/>
      <c r="G474" s="15"/>
      <c r="H474" s="17"/>
      <c r="I474" s="23"/>
      <c r="J474" s="5"/>
      <c r="K474" s="5"/>
      <c r="L474" s="1"/>
      <c r="M474" s="1"/>
      <c r="O474" s="24"/>
      <c r="P474" s="24"/>
      <c r="Q474" s="24"/>
      <c r="T474" s="16"/>
      <c r="U474" s="16"/>
      <c r="V474" s="16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spans="3:31" s="2" customFormat="1" ht="18" customHeight="1">
      <c r="C475" s="14"/>
      <c r="G475" s="15"/>
      <c r="H475" s="17"/>
      <c r="I475" s="23"/>
      <c r="J475" s="5"/>
      <c r="K475" s="5"/>
      <c r="L475" s="1"/>
      <c r="M475" s="1"/>
      <c r="O475" s="24"/>
      <c r="P475" s="24"/>
      <c r="Q475" s="24"/>
      <c r="T475" s="16"/>
      <c r="U475" s="16"/>
      <c r="V475" s="16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spans="3:31" s="2" customFormat="1" ht="18" customHeight="1">
      <c r="C476" s="14"/>
      <c r="G476" s="15"/>
      <c r="H476" s="17"/>
      <c r="I476" s="23"/>
      <c r="J476" s="5"/>
      <c r="K476" s="5"/>
      <c r="L476" s="1"/>
      <c r="M476" s="1"/>
      <c r="O476" s="24"/>
      <c r="P476" s="24"/>
      <c r="Q476" s="24"/>
      <c r="T476" s="16"/>
      <c r="U476" s="16"/>
      <c r="V476" s="16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spans="3:31" s="2" customFormat="1" ht="18" customHeight="1">
      <c r="C477" s="14"/>
      <c r="G477" s="15"/>
      <c r="H477" s="17"/>
      <c r="I477" s="23"/>
      <c r="J477" s="5"/>
      <c r="K477" s="5"/>
      <c r="L477" s="1"/>
      <c r="M477" s="1"/>
      <c r="O477" s="24"/>
      <c r="P477" s="24"/>
      <c r="Q477" s="24"/>
      <c r="T477" s="16"/>
      <c r="U477" s="16"/>
      <c r="V477" s="16"/>
      <c r="W477" s="15"/>
      <c r="X477" s="15"/>
      <c r="Y477" s="15"/>
      <c r="Z477" s="15"/>
      <c r="AA477" s="15"/>
      <c r="AB477" s="15"/>
      <c r="AC477" s="15"/>
      <c r="AD477" s="15"/>
      <c r="AE477" s="15"/>
    </row>
    <row r="478" spans="3:31" s="2" customFormat="1" ht="18" customHeight="1">
      <c r="C478" s="14"/>
      <c r="G478" s="15"/>
      <c r="H478" s="17"/>
      <c r="I478" s="23"/>
      <c r="J478" s="5"/>
      <c r="K478" s="5"/>
      <c r="L478" s="1"/>
      <c r="M478" s="1"/>
      <c r="O478" s="24"/>
      <c r="P478" s="24"/>
      <c r="Q478" s="24"/>
      <c r="T478" s="16"/>
      <c r="U478" s="16"/>
      <c r="V478" s="16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spans="3:31" s="2" customFormat="1" ht="18" customHeight="1">
      <c r="C479" s="14"/>
      <c r="G479" s="15"/>
      <c r="H479" s="17"/>
      <c r="I479" s="23"/>
      <c r="J479" s="5"/>
      <c r="K479" s="5"/>
      <c r="L479" s="1"/>
      <c r="M479" s="1"/>
      <c r="O479" s="24"/>
      <c r="P479" s="24"/>
      <c r="Q479" s="24"/>
      <c r="T479" s="16"/>
      <c r="U479" s="16"/>
      <c r="V479" s="16"/>
      <c r="W479" s="15"/>
      <c r="X479" s="15"/>
      <c r="Y479" s="15"/>
      <c r="Z479" s="15"/>
      <c r="AA479" s="15"/>
      <c r="AB479" s="15"/>
      <c r="AC479" s="15"/>
      <c r="AD479" s="15"/>
      <c r="AE479" s="15"/>
    </row>
    <row r="480" spans="3:31" s="2" customFormat="1" ht="18" customHeight="1">
      <c r="C480" s="14"/>
      <c r="G480" s="15"/>
      <c r="H480" s="17"/>
      <c r="I480" s="23"/>
      <c r="J480" s="5"/>
      <c r="K480" s="5"/>
      <c r="L480" s="1"/>
      <c r="M480" s="1"/>
      <c r="O480" s="24"/>
      <c r="P480" s="24"/>
      <c r="Q480" s="24"/>
      <c r="T480" s="16"/>
      <c r="U480" s="16"/>
      <c r="V480" s="16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spans="3:31" s="2" customFormat="1" ht="18" customHeight="1">
      <c r="C481" s="14"/>
      <c r="G481" s="15"/>
      <c r="H481" s="17"/>
      <c r="I481" s="23"/>
      <c r="J481" s="5"/>
      <c r="K481" s="5"/>
      <c r="L481" s="1"/>
      <c r="M481" s="1"/>
      <c r="O481" s="24"/>
      <c r="P481" s="24"/>
      <c r="Q481" s="24"/>
      <c r="T481" s="16"/>
      <c r="U481" s="16"/>
      <c r="V481" s="16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spans="3:31" s="2" customFormat="1" ht="18" customHeight="1">
      <c r="C482" s="14"/>
      <c r="G482" s="15"/>
      <c r="H482" s="17"/>
      <c r="I482" s="23"/>
      <c r="J482" s="5"/>
      <c r="K482" s="5"/>
      <c r="L482" s="1"/>
      <c r="M482" s="1"/>
      <c r="O482" s="24"/>
      <c r="P482" s="24"/>
      <c r="Q482" s="24"/>
      <c r="T482" s="16"/>
      <c r="U482" s="16"/>
      <c r="V482" s="16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spans="3:31" s="2" customFormat="1" ht="18" customHeight="1">
      <c r="C483" s="14"/>
      <c r="G483" s="15"/>
      <c r="H483" s="17"/>
      <c r="I483" s="23"/>
      <c r="J483" s="5"/>
      <c r="K483" s="5"/>
      <c r="L483" s="1"/>
      <c r="M483" s="1"/>
      <c r="O483" s="24"/>
      <c r="P483" s="24"/>
      <c r="Q483" s="24"/>
      <c r="T483" s="16"/>
      <c r="U483" s="16"/>
      <c r="V483" s="16"/>
      <c r="W483" s="15"/>
      <c r="X483" s="15"/>
      <c r="Y483" s="15"/>
      <c r="Z483" s="15"/>
      <c r="AA483" s="15"/>
      <c r="AB483" s="15"/>
      <c r="AC483" s="15"/>
      <c r="AD483" s="15"/>
      <c r="AE483" s="15"/>
    </row>
    <row r="484" spans="3:31" s="2" customFormat="1" ht="18" customHeight="1">
      <c r="C484" s="14"/>
      <c r="G484" s="15"/>
      <c r="H484" s="17"/>
      <c r="I484" s="23"/>
      <c r="J484" s="5"/>
      <c r="K484" s="5"/>
      <c r="L484" s="1"/>
      <c r="M484" s="1"/>
      <c r="O484" s="24"/>
      <c r="P484" s="24"/>
      <c r="Q484" s="24"/>
      <c r="T484" s="16"/>
      <c r="U484" s="16"/>
      <c r="V484" s="16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spans="3:31" s="2" customFormat="1" ht="18" customHeight="1">
      <c r="C485" s="14"/>
      <c r="G485" s="15"/>
      <c r="H485" s="17"/>
      <c r="I485" s="23"/>
      <c r="J485" s="5"/>
      <c r="K485" s="5"/>
      <c r="L485" s="1"/>
      <c r="M485" s="1"/>
      <c r="O485" s="24"/>
      <c r="P485" s="24"/>
      <c r="Q485" s="24"/>
      <c r="T485" s="16"/>
      <c r="U485" s="16"/>
      <c r="V485" s="16"/>
      <c r="W485" s="15"/>
      <c r="X485" s="15"/>
      <c r="Y485" s="15"/>
      <c r="Z485" s="15"/>
      <c r="AA485" s="15"/>
      <c r="AB485" s="15"/>
      <c r="AC485" s="15"/>
      <c r="AD485" s="15"/>
      <c r="AE485" s="15"/>
    </row>
    <row r="486" spans="3:31" s="2" customFormat="1" ht="18" customHeight="1">
      <c r="C486" s="14"/>
      <c r="G486" s="15"/>
      <c r="H486" s="17"/>
      <c r="I486" s="23"/>
      <c r="J486" s="5"/>
      <c r="K486" s="5"/>
      <c r="L486" s="1"/>
      <c r="M486" s="1"/>
      <c r="O486" s="24"/>
      <c r="P486" s="24"/>
      <c r="Q486" s="24"/>
      <c r="T486" s="16"/>
      <c r="U486" s="16"/>
      <c r="V486" s="16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spans="3:31" s="2" customFormat="1" ht="18" customHeight="1">
      <c r="C487" s="14"/>
      <c r="G487" s="15"/>
      <c r="H487" s="17"/>
      <c r="I487" s="23"/>
      <c r="J487" s="5"/>
      <c r="K487" s="5"/>
      <c r="L487" s="1"/>
      <c r="M487" s="1"/>
      <c r="O487" s="24"/>
      <c r="P487" s="24"/>
      <c r="Q487" s="24"/>
      <c r="T487" s="16"/>
      <c r="U487" s="16"/>
      <c r="V487" s="16"/>
      <c r="W487" s="15"/>
      <c r="X487" s="15"/>
      <c r="Y487" s="15"/>
      <c r="Z487" s="15"/>
      <c r="AA487" s="15"/>
      <c r="AB487" s="15"/>
      <c r="AC487" s="15"/>
      <c r="AD487" s="15"/>
      <c r="AE487" s="15"/>
    </row>
    <row r="488" spans="3:31" s="2" customFormat="1" ht="18" customHeight="1">
      <c r="C488" s="14"/>
      <c r="G488" s="15"/>
      <c r="H488" s="17"/>
      <c r="I488" s="23"/>
      <c r="J488" s="5"/>
      <c r="K488" s="5"/>
      <c r="L488" s="1"/>
      <c r="M488" s="1"/>
      <c r="O488" s="24"/>
      <c r="P488" s="24"/>
      <c r="Q488" s="24"/>
      <c r="T488" s="16"/>
      <c r="U488" s="16"/>
      <c r="V488" s="16"/>
      <c r="W488" s="15"/>
      <c r="X488" s="15"/>
      <c r="Y488" s="15"/>
      <c r="Z488" s="15"/>
      <c r="AA488" s="15"/>
      <c r="AB488" s="15"/>
      <c r="AC488" s="15"/>
      <c r="AD488" s="15"/>
      <c r="AE488" s="15"/>
    </row>
    <row r="489" spans="3:31" s="2" customFormat="1" ht="18" customHeight="1">
      <c r="C489" s="14"/>
      <c r="G489" s="15"/>
      <c r="H489" s="17"/>
      <c r="I489" s="23"/>
      <c r="J489" s="5"/>
      <c r="K489" s="5"/>
      <c r="L489" s="1"/>
      <c r="M489" s="1"/>
      <c r="O489" s="24"/>
      <c r="P489" s="24"/>
      <c r="Q489" s="24"/>
      <c r="T489" s="16"/>
      <c r="U489" s="16"/>
      <c r="V489" s="16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spans="3:31" s="2" customFormat="1" ht="18" customHeight="1">
      <c r="C490" s="14"/>
      <c r="G490" s="15"/>
      <c r="H490" s="17"/>
      <c r="I490" s="23"/>
      <c r="J490" s="5"/>
      <c r="K490" s="5"/>
      <c r="L490" s="1"/>
      <c r="M490" s="1"/>
      <c r="O490" s="24"/>
      <c r="P490" s="24"/>
      <c r="Q490" s="24"/>
      <c r="T490" s="16"/>
      <c r="U490" s="16"/>
      <c r="V490" s="16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spans="3:31" s="2" customFormat="1" ht="18" customHeight="1">
      <c r="C491" s="14"/>
      <c r="G491" s="15"/>
      <c r="H491" s="17"/>
      <c r="I491" s="23"/>
      <c r="J491" s="5"/>
      <c r="K491" s="5"/>
      <c r="L491" s="1"/>
      <c r="M491" s="1"/>
      <c r="O491" s="24"/>
      <c r="P491" s="24"/>
      <c r="Q491" s="24"/>
      <c r="T491" s="16"/>
      <c r="U491" s="16"/>
      <c r="V491" s="16"/>
      <c r="W491" s="15"/>
      <c r="X491" s="15"/>
      <c r="Y491" s="15"/>
      <c r="Z491" s="15"/>
      <c r="AA491" s="15"/>
      <c r="AB491" s="15"/>
      <c r="AC491" s="15"/>
      <c r="AD491" s="15"/>
      <c r="AE491" s="15"/>
    </row>
    <row r="492" spans="3:31" s="2" customFormat="1" ht="18" customHeight="1">
      <c r="C492" s="14"/>
      <c r="G492" s="15"/>
      <c r="H492" s="17"/>
      <c r="I492" s="23"/>
      <c r="J492" s="5"/>
      <c r="K492" s="5"/>
      <c r="L492" s="1"/>
      <c r="M492" s="1"/>
      <c r="O492" s="24"/>
      <c r="P492" s="24"/>
      <c r="Q492" s="24"/>
      <c r="T492" s="16"/>
      <c r="U492" s="16"/>
      <c r="V492" s="16"/>
      <c r="W492" s="15"/>
      <c r="X492" s="15"/>
      <c r="Y492" s="15"/>
      <c r="Z492" s="15"/>
      <c r="AA492" s="15"/>
      <c r="AB492" s="15"/>
      <c r="AC492" s="15"/>
      <c r="AD492" s="15"/>
      <c r="AE492" s="15"/>
    </row>
    <row r="493" spans="3:31" s="2" customFormat="1" ht="18" customHeight="1">
      <c r="C493" s="14"/>
      <c r="G493" s="15"/>
      <c r="H493" s="17"/>
      <c r="I493" s="23"/>
      <c r="J493" s="5"/>
      <c r="K493" s="5"/>
      <c r="L493" s="1"/>
      <c r="M493" s="1"/>
      <c r="O493" s="24"/>
      <c r="P493" s="24"/>
      <c r="Q493" s="24"/>
      <c r="T493" s="16"/>
      <c r="U493" s="16"/>
      <c r="V493" s="16"/>
      <c r="W493" s="15"/>
      <c r="X493" s="15"/>
      <c r="Y493" s="15"/>
      <c r="Z493" s="15"/>
      <c r="AA493" s="15"/>
      <c r="AB493" s="15"/>
      <c r="AC493" s="15"/>
      <c r="AD493" s="15"/>
      <c r="AE493" s="15"/>
    </row>
    <row r="494" spans="3:31" s="2" customFormat="1" ht="18" customHeight="1">
      <c r="C494" s="14"/>
      <c r="G494" s="15"/>
      <c r="H494" s="17"/>
      <c r="I494" s="23"/>
      <c r="J494" s="5"/>
      <c r="K494" s="5"/>
      <c r="L494" s="1"/>
      <c r="M494" s="1"/>
      <c r="O494" s="24"/>
      <c r="P494" s="24"/>
      <c r="Q494" s="24"/>
      <c r="T494" s="16"/>
      <c r="U494" s="16"/>
      <c r="V494" s="16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spans="3:31" s="2" customFormat="1" ht="18" customHeight="1">
      <c r="C495" s="14"/>
      <c r="G495" s="15"/>
      <c r="H495" s="17"/>
      <c r="I495" s="23"/>
      <c r="J495" s="5"/>
      <c r="K495" s="5"/>
      <c r="L495" s="1"/>
      <c r="M495" s="1"/>
      <c r="O495" s="24"/>
      <c r="P495" s="24"/>
      <c r="Q495" s="24"/>
      <c r="T495" s="16"/>
      <c r="U495" s="16"/>
      <c r="V495" s="16"/>
      <c r="W495" s="15"/>
      <c r="X495" s="15"/>
      <c r="Y495" s="15"/>
      <c r="Z495" s="15"/>
      <c r="AA495" s="15"/>
      <c r="AB495" s="15"/>
      <c r="AC495" s="15"/>
      <c r="AD495" s="15"/>
      <c r="AE495" s="15"/>
    </row>
    <row r="496" spans="3:31" s="2" customFormat="1" ht="18" customHeight="1">
      <c r="C496" s="14"/>
      <c r="G496" s="15"/>
      <c r="H496" s="17"/>
      <c r="I496" s="23"/>
      <c r="J496" s="5"/>
      <c r="K496" s="5"/>
      <c r="L496" s="1"/>
      <c r="M496" s="1"/>
      <c r="O496" s="24"/>
      <c r="P496" s="24"/>
      <c r="Q496" s="24"/>
      <c r="T496" s="16"/>
      <c r="U496" s="16"/>
      <c r="V496" s="16"/>
      <c r="W496" s="15"/>
      <c r="X496" s="15"/>
      <c r="Y496" s="15"/>
      <c r="Z496" s="15"/>
      <c r="AA496" s="15"/>
      <c r="AB496" s="15"/>
      <c r="AC496" s="15"/>
      <c r="AD496" s="15"/>
      <c r="AE496" s="15"/>
    </row>
    <row r="497" spans="3:31" s="2" customFormat="1" ht="18" customHeight="1">
      <c r="C497" s="14"/>
      <c r="G497" s="15"/>
      <c r="H497" s="17"/>
      <c r="I497" s="23"/>
      <c r="J497" s="5"/>
      <c r="K497" s="5"/>
      <c r="L497" s="1"/>
      <c r="M497" s="1"/>
      <c r="O497" s="24"/>
      <c r="P497" s="24"/>
      <c r="Q497" s="24"/>
      <c r="T497" s="16"/>
      <c r="U497" s="16"/>
      <c r="V497" s="16"/>
      <c r="W497" s="15"/>
      <c r="X497" s="15"/>
      <c r="Y497" s="15"/>
      <c r="Z497" s="15"/>
      <c r="AA497" s="15"/>
      <c r="AB497" s="15"/>
      <c r="AC497" s="15"/>
      <c r="AD497" s="15"/>
      <c r="AE497" s="15"/>
    </row>
    <row r="498" spans="3:31" s="2" customFormat="1" ht="18" customHeight="1">
      <c r="C498" s="14"/>
      <c r="G498" s="15"/>
      <c r="H498" s="17"/>
      <c r="I498" s="23"/>
      <c r="J498" s="5"/>
      <c r="K498" s="5"/>
      <c r="L498" s="1"/>
      <c r="M498" s="1"/>
      <c r="O498" s="24"/>
      <c r="P498" s="24"/>
      <c r="Q498" s="24"/>
      <c r="T498" s="16"/>
      <c r="U498" s="16"/>
      <c r="V498" s="16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spans="3:31" s="2" customFormat="1" ht="18" customHeight="1">
      <c r="C499" s="14"/>
      <c r="G499" s="15"/>
      <c r="H499" s="17"/>
      <c r="I499" s="23"/>
      <c r="J499" s="5"/>
      <c r="K499" s="5"/>
      <c r="L499" s="1"/>
      <c r="M499" s="1"/>
      <c r="O499" s="24"/>
      <c r="P499" s="24"/>
      <c r="Q499" s="24"/>
      <c r="T499" s="16"/>
      <c r="U499" s="16"/>
      <c r="V499" s="16"/>
      <c r="W499" s="15"/>
      <c r="X499" s="15"/>
      <c r="Y499" s="15"/>
      <c r="Z499" s="15"/>
      <c r="AA499" s="15"/>
      <c r="AB499" s="15"/>
      <c r="AC499" s="15"/>
      <c r="AD499" s="15"/>
      <c r="AE499" s="15"/>
    </row>
    <row r="500" spans="3:31" s="2" customFormat="1" ht="18" customHeight="1">
      <c r="C500" s="14"/>
      <c r="G500" s="15"/>
      <c r="H500" s="17"/>
      <c r="I500" s="23"/>
      <c r="J500" s="5"/>
      <c r="K500" s="5"/>
      <c r="L500" s="1"/>
      <c r="M500" s="1"/>
      <c r="O500" s="24"/>
      <c r="P500" s="24"/>
      <c r="Q500" s="24"/>
      <c r="T500" s="16"/>
      <c r="U500" s="16"/>
      <c r="V500" s="16"/>
      <c r="W500" s="15"/>
      <c r="X500" s="15"/>
      <c r="Y500" s="15"/>
      <c r="Z500" s="15"/>
      <c r="AA500" s="15"/>
      <c r="AB500" s="15"/>
      <c r="AC500" s="15"/>
      <c r="AD500" s="15"/>
      <c r="AE500" s="15"/>
    </row>
    <row r="501" spans="3:31" s="2" customFormat="1" ht="18" customHeight="1">
      <c r="C501" s="14"/>
      <c r="G501" s="15"/>
      <c r="H501" s="17"/>
      <c r="I501" s="23"/>
      <c r="J501" s="5"/>
      <c r="K501" s="5"/>
      <c r="L501" s="1"/>
      <c r="M501" s="1"/>
      <c r="O501" s="24"/>
      <c r="P501" s="24"/>
      <c r="Q501" s="24"/>
      <c r="T501" s="16"/>
      <c r="U501" s="16"/>
      <c r="V501" s="16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spans="3:31" s="2" customFormat="1" ht="18" customHeight="1">
      <c r="C502" s="14"/>
      <c r="G502" s="15"/>
      <c r="H502" s="17"/>
      <c r="I502" s="23"/>
      <c r="J502" s="5"/>
      <c r="K502" s="5"/>
      <c r="L502" s="1"/>
      <c r="M502" s="1"/>
      <c r="O502" s="24"/>
      <c r="P502" s="24"/>
      <c r="Q502" s="24"/>
      <c r="T502" s="16"/>
      <c r="U502" s="16"/>
      <c r="V502" s="16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spans="3:31" s="2" customFormat="1" ht="18" customHeight="1">
      <c r="C503" s="14"/>
      <c r="G503" s="15"/>
      <c r="H503" s="17"/>
      <c r="I503" s="23"/>
      <c r="J503" s="5"/>
      <c r="K503" s="5"/>
      <c r="L503" s="1"/>
      <c r="M503" s="1"/>
      <c r="O503" s="24"/>
      <c r="P503" s="24"/>
      <c r="Q503" s="24"/>
      <c r="T503" s="16"/>
      <c r="U503" s="16"/>
      <c r="V503" s="16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spans="3:31" s="2" customFormat="1" ht="18" customHeight="1">
      <c r="C504" s="14"/>
      <c r="G504" s="15"/>
      <c r="H504" s="17"/>
      <c r="I504" s="23"/>
      <c r="J504" s="5"/>
      <c r="K504" s="5"/>
      <c r="L504" s="1"/>
      <c r="M504" s="1"/>
      <c r="O504" s="24"/>
      <c r="P504" s="24"/>
      <c r="Q504" s="24"/>
      <c r="T504" s="16"/>
      <c r="U504" s="16"/>
      <c r="V504" s="16"/>
      <c r="W504" s="15"/>
      <c r="X504" s="15"/>
      <c r="Y504" s="15"/>
      <c r="Z504" s="15"/>
      <c r="AA504" s="15"/>
      <c r="AB504" s="15"/>
      <c r="AC504" s="15"/>
      <c r="AD504" s="15"/>
      <c r="AE504" s="15"/>
    </row>
    <row r="505" spans="3:31" s="2" customFormat="1" ht="18" customHeight="1">
      <c r="C505" s="14"/>
      <c r="G505" s="15"/>
      <c r="H505" s="17"/>
      <c r="I505" s="23"/>
      <c r="J505" s="5"/>
      <c r="K505" s="5"/>
      <c r="L505" s="1"/>
      <c r="M505" s="1"/>
      <c r="O505" s="24"/>
      <c r="P505" s="24"/>
      <c r="Q505" s="24"/>
      <c r="T505" s="16"/>
      <c r="U505" s="16"/>
      <c r="V505" s="16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spans="3:31" s="2" customFormat="1" ht="18" customHeight="1">
      <c r="C506" s="14"/>
      <c r="G506" s="15"/>
      <c r="H506" s="17"/>
      <c r="I506" s="23"/>
      <c r="J506" s="5"/>
      <c r="K506" s="5"/>
      <c r="L506" s="1"/>
      <c r="M506" s="1"/>
      <c r="O506" s="24"/>
      <c r="P506" s="24"/>
      <c r="Q506" s="24"/>
      <c r="T506" s="16"/>
      <c r="U506" s="16"/>
      <c r="V506" s="16"/>
      <c r="W506" s="15"/>
      <c r="X506" s="15"/>
      <c r="Y506" s="15"/>
      <c r="Z506" s="15"/>
      <c r="AA506" s="15"/>
      <c r="AB506" s="15"/>
      <c r="AC506" s="15"/>
      <c r="AD506" s="15"/>
      <c r="AE506" s="15"/>
    </row>
    <row r="507" spans="3:31" s="2" customFormat="1" ht="18" customHeight="1">
      <c r="C507" s="14"/>
      <c r="G507" s="15"/>
      <c r="H507" s="17"/>
      <c r="I507" s="23"/>
      <c r="J507" s="5"/>
      <c r="K507" s="5"/>
      <c r="L507" s="1"/>
      <c r="M507" s="1"/>
      <c r="O507" s="24"/>
      <c r="P507" s="24"/>
      <c r="Q507" s="24"/>
      <c r="T507" s="16"/>
      <c r="U507" s="16"/>
      <c r="V507" s="16"/>
      <c r="W507" s="15"/>
      <c r="X507" s="15"/>
      <c r="Y507" s="15"/>
      <c r="Z507" s="15"/>
      <c r="AA507" s="15"/>
      <c r="AB507" s="15"/>
      <c r="AC507" s="15"/>
      <c r="AD507" s="15"/>
      <c r="AE507" s="15"/>
    </row>
    <row r="508" spans="3:31" s="2" customFormat="1" ht="18" customHeight="1">
      <c r="C508" s="14"/>
      <c r="G508" s="15"/>
      <c r="H508" s="17"/>
      <c r="I508" s="23"/>
      <c r="J508" s="5"/>
      <c r="K508" s="5"/>
      <c r="L508" s="1"/>
      <c r="M508" s="1"/>
      <c r="O508" s="24"/>
      <c r="P508" s="24"/>
      <c r="Q508" s="24"/>
      <c r="T508" s="16"/>
      <c r="U508" s="16"/>
      <c r="V508" s="16"/>
      <c r="W508" s="15"/>
      <c r="X508" s="15"/>
      <c r="Y508" s="15"/>
      <c r="Z508" s="15"/>
      <c r="AA508" s="15"/>
      <c r="AB508" s="15"/>
      <c r="AC508" s="15"/>
      <c r="AD508" s="15"/>
      <c r="AE508" s="15"/>
    </row>
    <row r="509" spans="3:31" s="2" customFormat="1" ht="18" customHeight="1">
      <c r="C509" s="14"/>
      <c r="G509" s="15"/>
      <c r="H509" s="17"/>
      <c r="I509" s="23"/>
      <c r="J509" s="5"/>
      <c r="K509" s="5"/>
      <c r="L509" s="1"/>
      <c r="M509" s="1"/>
      <c r="O509" s="24"/>
      <c r="P509" s="24"/>
      <c r="Q509" s="24"/>
      <c r="T509" s="16"/>
      <c r="U509" s="16"/>
      <c r="V509" s="16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spans="3:31" s="2" customFormat="1" ht="18" customHeight="1">
      <c r="C510" s="14"/>
      <c r="G510" s="15"/>
      <c r="H510" s="17"/>
      <c r="I510" s="23"/>
      <c r="J510" s="5"/>
      <c r="K510" s="5"/>
      <c r="L510" s="1"/>
      <c r="M510" s="1"/>
      <c r="O510" s="24"/>
      <c r="P510" s="24"/>
      <c r="Q510" s="24"/>
      <c r="T510" s="16"/>
      <c r="U510" s="16"/>
      <c r="V510" s="16"/>
      <c r="W510" s="15"/>
      <c r="X510" s="15"/>
      <c r="Y510" s="15"/>
      <c r="Z510" s="15"/>
      <c r="AA510" s="15"/>
      <c r="AB510" s="15"/>
      <c r="AC510" s="15"/>
      <c r="AD510" s="15"/>
      <c r="AE510" s="15"/>
    </row>
    <row r="511" spans="3:31" s="2" customFormat="1" ht="18" customHeight="1">
      <c r="C511" s="14"/>
      <c r="G511" s="15"/>
      <c r="H511" s="17"/>
      <c r="I511" s="23"/>
      <c r="J511" s="5"/>
      <c r="K511" s="5"/>
      <c r="L511" s="1"/>
      <c r="M511" s="1"/>
      <c r="O511" s="24"/>
      <c r="P511" s="24"/>
      <c r="Q511" s="24"/>
      <c r="T511" s="16"/>
      <c r="U511" s="16"/>
      <c r="V511" s="16"/>
      <c r="W511" s="15"/>
      <c r="X511" s="15"/>
      <c r="Y511" s="15"/>
      <c r="Z511" s="15"/>
      <c r="AA511" s="15"/>
      <c r="AB511" s="15"/>
      <c r="AC511" s="15"/>
      <c r="AD511" s="15"/>
      <c r="AE511" s="15"/>
    </row>
    <row r="512" spans="3:31" s="2" customFormat="1" ht="18" customHeight="1">
      <c r="C512" s="14"/>
      <c r="G512" s="15"/>
      <c r="H512" s="17"/>
      <c r="I512" s="23"/>
      <c r="J512" s="5"/>
      <c r="K512" s="5"/>
      <c r="L512" s="1"/>
      <c r="M512" s="1"/>
      <c r="O512" s="24"/>
      <c r="P512" s="24"/>
      <c r="Q512" s="24"/>
      <c r="T512" s="16"/>
      <c r="U512" s="16"/>
      <c r="V512" s="16"/>
      <c r="W512" s="15"/>
      <c r="X512" s="15"/>
      <c r="Y512" s="15"/>
      <c r="Z512" s="15"/>
      <c r="AA512" s="15"/>
      <c r="AB512" s="15"/>
      <c r="AC512" s="15"/>
      <c r="AD512" s="15"/>
      <c r="AE512" s="15"/>
    </row>
    <row r="513" spans="3:31" s="2" customFormat="1" ht="18" customHeight="1">
      <c r="C513" s="14"/>
      <c r="G513" s="15"/>
      <c r="H513" s="17"/>
      <c r="I513" s="23"/>
      <c r="J513" s="5"/>
      <c r="K513" s="5"/>
      <c r="L513" s="1"/>
      <c r="M513" s="1"/>
      <c r="O513" s="24"/>
      <c r="P513" s="24"/>
      <c r="Q513" s="24"/>
      <c r="T513" s="16"/>
      <c r="U513" s="16"/>
      <c r="V513" s="16"/>
      <c r="W513" s="15"/>
      <c r="X513" s="15"/>
      <c r="Y513" s="15"/>
      <c r="Z513" s="15"/>
      <c r="AA513" s="15"/>
      <c r="AB513" s="15"/>
      <c r="AC513" s="15"/>
      <c r="AD513" s="15"/>
      <c r="AE513" s="15"/>
    </row>
    <row r="514" spans="3:31" s="2" customFormat="1" ht="18" customHeight="1">
      <c r="C514" s="14"/>
      <c r="G514" s="15"/>
      <c r="H514" s="17"/>
      <c r="I514" s="23"/>
      <c r="J514" s="5"/>
      <c r="K514" s="5"/>
      <c r="L514" s="1"/>
      <c r="M514" s="1"/>
      <c r="O514" s="24"/>
      <c r="P514" s="24"/>
      <c r="Q514" s="24"/>
      <c r="T514" s="16"/>
      <c r="U514" s="16"/>
      <c r="V514" s="16"/>
      <c r="W514" s="15"/>
      <c r="X514" s="15"/>
      <c r="Y514" s="15"/>
      <c r="Z514" s="15"/>
      <c r="AA514" s="15"/>
      <c r="AB514" s="15"/>
      <c r="AC514" s="15"/>
      <c r="AD514" s="15"/>
      <c r="AE514" s="15"/>
    </row>
    <row r="515" spans="3:31" s="2" customFormat="1" ht="18" customHeight="1">
      <c r="C515" s="14"/>
      <c r="G515" s="15"/>
      <c r="H515" s="17"/>
      <c r="I515" s="23"/>
      <c r="J515" s="5"/>
      <c r="K515" s="5"/>
      <c r="L515" s="1"/>
      <c r="M515" s="1"/>
      <c r="O515" s="24"/>
      <c r="P515" s="24"/>
      <c r="Q515" s="24"/>
      <c r="T515" s="16"/>
      <c r="U515" s="16"/>
      <c r="V515" s="16"/>
      <c r="W515" s="15"/>
      <c r="X515" s="15"/>
      <c r="Y515" s="15"/>
      <c r="Z515" s="15"/>
      <c r="AA515" s="15"/>
      <c r="AB515" s="15"/>
      <c r="AC515" s="15"/>
      <c r="AD515" s="15"/>
      <c r="AE515" s="15"/>
    </row>
    <row r="516" spans="3:31" s="2" customFormat="1" ht="18" customHeight="1">
      <c r="C516" s="14"/>
      <c r="G516" s="15"/>
      <c r="H516" s="17"/>
      <c r="I516" s="23"/>
      <c r="J516" s="5"/>
      <c r="K516" s="5"/>
      <c r="L516" s="1"/>
      <c r="M516" s="1"/>
      <c r="O516" s="24"/>
      <c r="P516" s="24"/>
      <c r="Q516" s="24"/>
      <c r="T516" s="16"/>
      <c r="U516" s="16"/>
      <c r="V516" s="16"/>
      <c r="W516" s="15"/>
      <c r="X516" s="15"/>
      <c r="Y516" s="15"/>
      <c r="Z516" s="15"/>
      <c r="AA516" s="15"/>
      <c r="AB516" s="15"/>
      <c r="AC516" s="15"/>
      <c r="AD516" s="15"/>
      <c r="AE516" s="15"/>
    </row>
    <row r="517" spans="3:31" s="2" customFormat="1" ht="18" customHeight="1">
      <c r="C517" s="14"/>
      <c r="G517" s="15"/>
      <c r="H517" s="17"/>
      <c r="I517" s="23"/>
      <c r="J517" s="5"/>
      <c r="K517" s="5"/>
      <c r="L517" s="1"/>
      <c r="M517" s="1"/>
      <c r="O517" s="24"/>
      <c r="P517" s="24"/>
      <c r="Q517" s="24"/>
      <c r="T517" s="16"/>
      <c r="U517" s="16"/>
      <c r="V517" s="16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spans="3:31" s="2" customFormat="1" ht="18" customHeight="1">
      <c r="C518" s="14"/>
      <c r="G518" s="15"/>
      <c r="H518" s="17"/>
      <c r="I518" s="23"/>
      <c r="J518" s="5"/>
      <c r="K518" s="5"/>
      <c r="L518" s="1"/>
      <c r="M518" s="1"/>
      <c r="O518" s="24"/>
      <c r="P518" s="24"/>
      <c r="Q518" s="24"/>
      <c r="T518" s="16"/>
      <c r="U518" s="16"/>
      <c r="V518" s="16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spans="3:31" s="2" customFormat="1" ht="18" customHeight="1">
      <c r="C519" s="14"/>
      <c r="G519" s="15"/>
      <c r="H519" s="17"/>
      <c r="I519" s="23"/>
      <c r="J519" s="5"/>
      <c r="K519" s="5"/>
      <c r="L519" s="1"/>
      <c r="M519" s="1"/>
      <c r="O519" s="24"/>
      <c r="P519" s="24"/>
      <c r="Q519" s="24"/>
      <c r="T519" s="16"/>
      <c r="U519" s="16"/>
      <c r="V519" s="16"/>
      <c r="W519" s="15"/>
      <c r="X519" s="15"/>
      <c r="Y519" s="15"/>
      <c r="Z519" s="15"/>
      <c r="AA519" s="15"/>
      <c r="AB519" s="15"/>
      <c r="AC519" s="15"/>
      <c r="AD519" s="15"/>
      <c r="AE519" s="15"/>
    </row>
    <row r="520" spans="3:31" s="2" customFormat="1" ht="18" customHeight="1">
      <c r="C520" s="14"/>
      <c r="G520" s="15"/>
      <c r="H520" s="17"/>
      <c r="I520" s="23"/>
      <c r="J520" s="5"/>
      <c r="K520" s="5"/>
      <c r="L520" s="1"/>
      <c r="M520" s="1"/>
      <c r="O520" s="24"/>
      <c r="P520" s="24"/>
      <c r="Q520" s="24"/>
      <c r="T520" s="16"/>
      <c r="U520" s="16"/>
      <c r="V520" s="16"/>
      <c r="W520" s="15"/>
      <c r="X520" s="15"/>
      <c r="Y520" s="15"/>
      <c r="Z520" s="15"/>
      <c r="AA520" s="15"/>
      <c r="AB520" s="15"/>
      <c r="AC520" s="15"/>
      <c r="AD520" s="15"/>
      <c r="AE520" s="15"/>
    </row>
    <row r="521" spans="3:31" s="2" customFormat="1" ht="18" customHeight="1">
      <c r="C521" s="14"/>
      <c r="G521" s="15"/>
      <c r="H521" s="17"/>
      <c r="I521" s="23"/>
      <c r="J521" s="5"/>
      <c r="K521" s="5"/>
      <c r="L521" s="1"/>
      <c r="M521" s="1"/>
      <c r="O521" s="24"/>
      <c r="P521" s="24"/>
      <c r="Q521" s="24"/>
      <c r="T521" s="16"/>
      <c r="U521" s="16"/>
      <c r="V521" s="16"/>
      <c r="W521" s="15"/>
      <c r="X521" s="15"/>
      <c r="Y521" s="15"/>
      <c r="Z521" s="15"/>
      <c r="AA521" s="15"/>
      <c r="AB521" s="15"/>
      <c r="AC521" s="15"/>
      <c r="AD521" s="15"/>
      <c r="AE521" s="15"/>
    </row>
    <row r="522" spans="3:31" s="2" customFormat="1" ht="18" customHeight="1">
      <c r="C522" s="14"/>
      <c r="G522" s="15"/>
      <c r="H522" s="17"/>
      <c r="I522" s="23"/>
      <c r="J522" s="5"/>
      <c r="K522" s="5"/>
      <c r="L522" s="1"/>
      <c r="M522" s="1"/>
      <c r="O522" s="24"/>
      <c r="P522" s="24"/>
      <c r="Q522" s="24"/>
      <c r="T522" s="16"/>
      <c r="U522" s="16"/>
      <c r="V522" s="16"/>
      <c r="W522" s="15"/>
      <c r="X522" s="15"/>
      <c r="Y522" s="15"/>
      <c r="Z522" s="15"/>
      <c r="AA522" s="15"/>
      <c r="AB522" s="15"/>
      <c r="AC522" s="15"/>
      <c r="AD522" s="15"/>
      <c r="AE522" s="15"/>
    </row>
    <row r="523" spans="3:31" s="2" customFormat="1" ht="18" customHeight="1">
      <c r="C523" s="14"/>
      <c r="G523" s="15"/>
      <c r="H523" s="17"/>
      <c r="I523" s="23"/>
      <c r="J523" s="5"/>
      <c r="K523" s="5"/>
      <c r="L523" s="1"/>
      <c r="M523" s="1"/>
      <c r="O523" s="24"/>
      <c r="P523" s="24"/>
      <c r="Q523" s="24"/>
      <c r="T523" s="16"/>
      <c r="U523" s="16"/>
      <c r="V523" s="16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spans="3:31" s="2" customFormat="1" ht="18" customHeight="1">
      <c r="C524" s="14"/>
      <c r="G524" s="15"/>
      <c r="H524" s="17"/>
      <c r="I524" s="23"/>
      <c r="J524" s="5"/>
      <c r="K524" s="5"/>
      <c r="L524" s="1"/>
      <c r="M524" s="1"/>
      <c r="O524" s="24"/>
      <c r="P524" s="24"/>
      <c r="Q524" s="24"/>
      <c r="T524" s="16"/>
      <c r="U524" s="16"/>
      <c r="V524" s="16"/>
      <c r="W524" s="15"/>
      <c r="X524" s="15"/>
      <c r="Y524" s="15"/>
      <c r="Z524" s="15"/>
      <c r="AA524" s="15"/>
      <c r="AB524" s="15"/>
      <c r="AC524" s="15"/>
      <c r="AD524" s="15"/>
      <c r="AE524" s="15"/>
    </row>
    <row r="525" spans="3:31" s="2" customFormat="1" ht="18" customHeight="1">
      <c r="C525" s="14"/>
      <c r="G525" s="15"/>
      <c r="H525" s="17"/>
      <c r="I525" s="23"/>
      <c r="J525" s="5"/>
      <c r="K525" s="5"/>
      <c r="L525" s="1"/>
      <c r="M525" s="1"/>
      <c r="O525" s="24"/>
      <c r="P525" s="24"/>
      <c r="Q525" s="24"/>
      <c r="T525" s="16"/>
      <c r="U525" s="16"/>
      <c r="V525" s="16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spans="3:31" s="2" customFormat="1" ht="18" customHeight="1">
      <c r="C526" s="14"/>
      <c r="G526" s="15"/>
      <c r="H526" s="17"/>
      <c r="I526" s="23"/>
      <c r="J526" s="5"/>
      <c r="K526" s="5"/>
      <c r="L526" s="1"/>
      <c r="M526" s="1"/>
      <c r="O526" s="24"/>
      <c r="P526" s="24"/>
      <c r="Q526" s="24"/>
      <c r="T526" s="16"/>
      <c r="U526" s="16"/>
      <c r="V526" s="16"/>
      <c r="W526" s="15"/>
      <c r="X526" s="15"/>
      <c r="Y526" s="15"/>
      <c r="Z526" s="15"/>
      <c r="AA526" s="15"/>
      <c r="AB526" s="15"/>
      <c r="AC526" s="15"/>
      <c r="AD526" s="15"/>
      <c r="AE526" s="15"/>
    </row>
    <row r="527" spans="3:31" s="2" customFormat="1" ht="18" customHeight="1">
      <c r="C527" s="14"/>
      <c r="G527" s="15"/>
      <c r="H527" s="17"/>
      <c r="I527" s="23"/>
      <c r="J527" s="5"/>
      <c r="K527" s="5"/>
      <c r="L527" s="1"/>
      <c r="M527" s="1"/>
      <c r="O527" s="24"/>
      <c r="P527" s="24"/>
      <c r="Q527" s="24"/>
      <c r="T527" s="16"/>
      <c r="U527" s="16"/>
      <c r="V527" s="16"/>
      <c r="W527" s="15"/>
      <c r="X527" s="15"/>
      <c r="Y527" s="15"/>
      <c r="Z527" s="15"/>
      <c r="AA527" s="15"/>
      <c r="AB527" s="15"/>
      <c r="AC527" s="15"/>
      <c r="AD527" s="15"/>
      <c r="AE527" s="15"/>
    </row>
    <row r="528" spans="3:31" s="2" customFormat="1" ht="18" customHeight="1">
      <c r="C528" s="14"/>
      <c r="G528" s="15"/>
      <c r="H528" s="17"/>
      <c r="I528" s="23"/>
      <c r="J528" s="5"/>
      <c r="K528" s="5"/>
      <c r="L528" s="1"/>
      <c r="M528" s="1"/>
      <c r="O528" s="24"/>
      <c r="P528" s="24"/>
      <c r="Q528" s="24"/>
      <c r="T528" s="16"/>
      <c r="U528" s="16"/>
      <c r="V528" s="16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spans="3:31" s="2" customFormat="1" ht="18" customHeight="1">
      <c r="C529" s="14"/>
      <c r="G529" s="15"/>
      <c r="H529" s="17"/>
      <c r="I529" s="23"/>
      <c r="J529" s="5"/>
      <c r="K529" s="5"/>
      <c r="L529" s="1"/>
      <c r="M529" s="1"/>
      <c r="O529" s="24"/>
      <c r="P529" s="24"/>
      <c r="Q529" s="24"/>
      <c r="T529" s="16"/>
      <c r="U529" s="16"/>
      <c r="V529" s="16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spans="3:31" s="2" customFormat="1" ht="18" customHeight="1">
      <c r="C530" s="14"/>
      <c r="G530" s="15"/>
      <c r="H530" s="17"/>
      <c r="I530" s="23"/>
      <c r="J530" s="5"/>
      <c r="K530" s="5"/>
      <c r="L530" s="1"/>
      <c r="M530" s="1"/>
      <c r="O530" s="24"/>
      <c r="P530" s="24"/>
      <c r="Q530" s="24"/>
      <c r="T530" s="16"/>
      <c r="U530" s="16"/>
      <c r="V530" s="16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spans="3:31" s="2" customFormat="1" ht="18" customHeight="1">
      <c r="C531" s="14"/>
      <c r="G531" s="15"/>
      <c r="H531" s="17"/>
      <c r="I531" s="23"/>
      <c r="J531" s="5"/>
      <c r="K531" s="5"/>
      <c r="L531" s="1"/>
      <c r="M531" s="1"/>
      <c r="O531" s="24"/>
      <c r="P531" s="24"/>
      <c r="Q531" s="24"/>
      <c r="T531" s="16"/>
      <c r="U531" s="16"/>
      <c r="V531" s="16"/>
      <c r="W531" s="15"/>
      <c r="X531" s="15"/>
      <c r="Y531" s="15"/>
      <c r="Z531" s="15"/>
      <c r="AA531" s="15"/>
      <c r="AB531" s="15"/>
      <c r="AC531" s="15"/>
      <c r="AD531" s="15"/>
      <c r="AE531" s="15"/>
    </row>
    <row r="532" spans="3:31" s="2" customFormat="1" ht="18" customHeight="1">
      <c r="C532" s="14"/>
      <c r="G532" s="15"/>
      <c r="H532" s="17"/>
      <c r="I532" s="23"/>
      <c r="J532" s="5"/>
      <c r="K532" s="5"/>
      <c r="L532" s="1"/>
      <c r="M532" s="1"/>
      <c r="O532" s="24"/>
      <c r="P532" s="24"/>
      <c r="Q532" s="24"/>
      <c r="T532" s="16"/>
      <c r="U532" s="16"/>
      <c r="V532" s="16"/>
      <c r="W532" s="15"/>
      <c r="X532" s="15"/>
      <c r="Y532" s="15"/>
      <c r="Z532" s="15"/>
      <c r="AA532" s="15"/>
      <c r="AB532" s="15"/>
      <c r="AC532" s="15"/>
      <c r="AD532" s="15"/>
      <c r="AE532" s="15"/>
    </row>
    <row r="533" spans="3:31" s="2" customFormat="1" ht="18" customHeight="1">
      <c r="C533" s="14"/>
      <c r="G533" s="15"/>
      <c r="H533" s="17"/>
      <c r="I533" s="23"/>
      <c r="J533" s="5"/>
      <c r="K533" s="5"/>
      <c r="L533" s="1"/>
      <c r="M533" s="1"/>
      <c r="O533" s="24"/>
      <c r="P533" s="24"/>
      <c r="Q533" s="24"/>
      <c r="T533" s="16"/>
      <c r="U533" s="16"/>
      <c r="V533" s="16"/>
      <c r="W533" s="15"/>
      <c r="X533" s="15"/>
      <c r="Y533" s="15"/>
      <c r="Z533" s="15"/>
      <c r="AA533" s="15"/>
      <c r="AB533" s="15"/>
      <c r="AC533" s="15"/>
      <c r="AD533" s="15"/>
      <c r="AE533" s="15"/>
    </row>
    <row r="534" spans="3:31" s="2" customFormat="1" ht="18" customHeight="1">
      <c r="C534" s="14"/>
      <c r="G534" s="15"/>
      <c r="H534" s="17"/>
      <c r="I534" s="23"/>
      <c r="J534" s="5"/>
      <c r="K534" s="5"/>
      <c r="L534" s="1"/>
      <c r="M534" s="1"/>
      <c r="O534" s="24"/>
      <c r="P534" s="24"/>
      <c r="Q534" s="24"/>
      <c r="T534" s="16"/>
      <c r="U534" s="16"/>
      <c r="V534" s="16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spans="3:31" s="2" customFormat="1" ht="18" customHeight="1">
      <c r="C535" s="14"/>
      <c r="G535" s="15"/>
      <c r="H535" s="17"/>
      <c r="I535" s="23"/>
      <c r="J535" s="5"/>
      <c r="K535" s="5"/>
      <c r="L535" s="1"/>
      <c r="M535" s="1"/>
      <c r="O535" s="24"/>
      <c r="P535" s="24"/>
      <c r="Q535" s="24"/>
      <c r="T535" s="16"/>
      <c r="U535" s="16"/>
      <c r="V535" s="16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spans="3:31" s="2" customFormat="1" ht="18" customHeight="1">
      <c r="C536" s="14"/>
      <c r="G536" s="15"/>
      <c r="H536" s="17"/>
      <c r="I536" s="23"/>
      <c r="J536" s="5"/>
      <c r="K536" s="5"/>
      <c r="L536" s="1"/>
      <c r="M536" s="1"/>
      <c r="O536" s="24"/>
      <c r="P536" s="24"/>
      <c r="Q536" s="24"/>
      <c r="T536" s="16"/>
      <c r="U536" s="16"/>
      <c r="V536" s="16"/>
      <c r="W536" s="15"/>
      <c r="X536" s="15"/>
      <c r="Y536" s="15"/>
      <c r="Z536" s="15"/>
      <c r="AA536" s="15"/>
      <c r="AB536" s="15"/>
      <c r="AC536" s="15"/>
      <c r="AD536" s="15"/>
      <c r="AE536" s="15"/>
    </row>
    <row r="537" spans="3:31" s="2" customFormat="1" ht="18" customHeight="1">
      <c r="C537" s="14"/>
      <c r="G537" s="15"/>
      <c r="H537" s="17"/>
      <c r="I537" s="23"/>
      <c r="J537" s="5"/>
      <c r="K537" s="5"/>
      <c r="L537" s="1"/>
      <c r="M537" s="1"/>
      <c r="O537" s="24"/>
      <c r="P537" s="24"/>
      <c r="Q537" s="24"/>
      <c r="T537" s="16"/>
      <c r="U537" s="16"/>
      <c r="V537" s="16"/>
      <c r="W537" s="15"/>
      <c r="X537" s="15"/>
      <c r="Y537" s="15"/>
      <c r="Z537" s="15"/>
      <c r="AA537" s="15"/>
      <c r="AB537" s="15"/>
      <c r="AC537" s="15"/>
      <c r="AD537" s="15"/>
      <c r="AE537" s="15"/>
    </row>
    <row r="538" spans="3:31" s="2" customFormat="1" ht="18" customHeight="1">
      <c r="C538" s="14"/>
      <c r="G538" s="15"/>
      <c r="H538" s="17"/>
      <c r="I538" s="23"/>
      <c r="J538" s="5"/>
      <c r="K538" s="5"/>
      <c r="L538" s="1"/>
      <c r="M538" s="1"/>
      <c r="O538" s="24"/>
      <c r="P538" s="24"/>
      <c r="Q538" s="24"/>
      <c r="T538" s="16"/>
      <c r="U538" s="16"/>
      <c r="V538" s="16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spans="3:31" s="2" customFormat="1" ht="18" customHeight="1">
      <c r="C539" s="14"/>
      <c r="G539" s="15"/>
      <c r="H539" s="17"/>
      <c r="I539" s="23"/>
      <c r="J539" s="5"/>
      <c r="K539" s="5"/>
      <c r="L539" s="1"/>
      <c r="M539" s="1"/>
      <c r="O539" s="24"/>
      <c r="P539" s="24"/>
      <c r="Q539" s="24"/>
      <c r="T539" s="16"/>
      <c r="U539" s="16"/>
      <c r="V539" s="16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spans="3:31" s="2" customFormat="1" ht="18" customHeight="1">
      <c r="C540" s="14"/>
      <c r="G540" s="15"/>
      <c r="H540" s="17"/>
      <c r="I540" s="23"/>
      <c r="J540" s="5"/>
      <c r="K540" s="5"/>
      <c r="L540" s="1"/>
      <c r="M540" s="1"/>
      <c r="O540" s="24"/>
      <c r="P540" s="24"/>
      <c r="Q540" s="24"/>
      <c r="T540" s="16"/>
      <c r="U540" s="16"/>
      <c r="V540" s="16"/>
      <c r="W540" s="15"/>
      <c r="X540" s="15"/>
      <c r="Y540" s="15"/>
      <c r="Z540" s="15"/>
      <c r="AA540" s="15"/>
      <c r="AB540" s="15"/>
      <c r="AC540" s="15"/>
      <c r="AD540" s="15"/>
      <c r="AE540" s="15"/>
    </row>
    <row r="541" spans="3:31" s="2" customFormat="1" ht="18" customHeight="1">
      <c r="C541" s="14"/>
      <c r="G541" s="15"/>
      <c r="H541" s="17"/>
      <c r="I541" s="23"/>
      <c r="J541" s="5"/>
      <c r="K541" s="5"/>
      <c r="L541" s="1"/>
      <c r="M541" s="1"/>
      <c r="O541" s="24"/>
      <c r="P541" s="24"/>
      <c r="Q541" s="24"/>
      <c r="T541" s="16"/>
      <c r="U541" s="16"/>
      <c r="V541" s="16"/>
      <c r="W541" s="15"/>
      <c r="X541" s="15"/>
      <c r="Y541" s="15"/>
      <c r="Z541" s="15"/>
      <c r="AA541" s="15"/>
      <c r="AB541" s="15"/>
      <c r="AC541" s="15"/>
      <c r="AD541" s="15"/>
      <c r="AE541" s="15"/>
    </row>
    <row r="542" spans="3:31" s="2" customFormat="1" ht="18" customHeight="1">
      <c r="C542" s="14"/>
      <c r="G542" s="15"/>
      <c r="H542" s="17"/>
      <c r="I542" s="23"/>
      <c r="J542" s="5"/>
      <c r="K542" s="5"/>
      <c r="L542" s="1"/>
      <c r="M542" s="1"/>
      <c r="O542" s="24"/>
      <c r="P542" s="24"/>
      <c r="Q542" s="24"/>
      <c r="T542" s="16"/>
      <c r="U542" s="16"/>
      <c r="V542" s="16"/>
      <c r="W542" s="15"/>
      <c r="X542" s="15"/>
      <c r="Y542" s="15"/>
      <c r="Z542" s="15"/>
      <c r="AA542" s="15"/>
      <c r="AB542" s="15"/>
      <c r="AC542" s="15"/>
      <c r="AD542" s="15"/>
      <c r="AE542" s="15"/>
    </row>
  </sheetData>
  <sortState xmlns:xlrd2="http://schemas.microsoft.com/office/spreadsheetml/2017/richdata2" ref="A2:BV542">
    <sortCondition ref="D2:D542"/>
    <sortCondition ref="C2:C542"/>
    <sortCondition ref="B2:B542"/>
  </sortState>
  <mergeCells count="4">
    <mergeCell ref="U1:V1"/>
    <mergeCell ref="AE1:AF1"/>
    <mergeCell ref="P1:R1"/>
    <mergeCell ref="AL1:AM1"/>
  </mergeCells>
  <phoneticPr fontId="24" type="noConversion"/>
  <conditionalFormatting sqref="A236:A237">
    <cfRule type="duplicateValues" dxfId="12" priority="11"/>
  </conditionalFormatting>
  <conditionalFormatting sqref="C235:E237">
    <cfRule type="cellIs" dxfId="11" priority="12" stopIfTrue="1" operator="equal">
      <formula>"NULL"</formula>
    </cfRule>
  </conditionalFormatting>
  <conditionalFormatting sqref="E2:E6 E8:E38 E40:E223">
    <cfRule type="cellIs" dxfId="10" priority="535" operator="equal">
      <formula>"NULL"</formula>
    </cfRule>
  </conditionalFormatting>
  <conditionalFormatting sqref="N53:N207">
    <cfRule type="cellIs" dxfId="9" priority="1" operator="equal">
      <formula>"NULL"</formula>
    </cfRule>
  </conditionalFormatting>
  <conditionalFormatting sqref="P81">
    <cfRule type="cellIs" dxfId="8" priority="5" operator="equal">
      <formula>"NULL"</formula>
    </cfRule>
  </conditionalFormatting>
  <conditionalFormatting sqref="P84">
    <cfRule type="cellIs" dxfId="7" priority="4" operator="equal">
      <formula>"NULL"</formula>
    </cfRule>
  </conditionalFormatting>
  <conditionalFormatting sqref="P146">
    <cfRule type="cellIs" dxfId="6" priority="3" operator="equal">
      <formula>"NULL"</formula>
    </cfRule>
  </conditionalFormatting>
  <conditionalFormatting sqref="P161:Q161">
    <cfRule type="cellIs" dxfId="5" priority="2" operator="equal">
      <formula>"NULL"</formula>
    </cfRule>
  </conditionalFormatting>
  <conditionalFormatting sqref="U115">
    <cfRule type="cellIs" dxfId="4" priority="9" operator="equal">
      <formula>"NULL"</formula>
    </cfRule>
  </conditionalFormatting>
  <conditionalFormatting sqref="U190:U193">
    <cfRule type="cellIs" dxfId="3" priority="8" operator="equal">
      <formula>"NULL"</formula>
    </cfRule>
  </conditionalFormatting>
  <conditionalFormatting sqref="U195">
    <cfRule type="cellIs" dxfId="2" priority="7" operator="equal">
      <formula>"NULL"</formula>
    </cfRule>
  </conditionalFormatting>
  <conditionalFormatting sqref="U213">
    <cfRule type="cellIs" dxfId="1" priority="6" operator="equal">
      <formula>"NULL"</formula>
    </cfRule>
  </conditionalFormatting>
  <conditionalFormatting sqref="U111:V111">
    <cfRule type="cellIs" dxfId="0" priority="10" operator="equal">
      <formula>"NULL"</formula>
    </cfRule>
  </conditionalFormatting>
  <hyperlinks>
    <hyperlink ref="U51" r:id="rId1" display="https://www.ncbi.nlm.nih.gov/pmc/articles/PMC2819879/" xr:uid="{00000000-0004-0000-0000-000006000000}"/>
    <hyperlink ref="U54" r:id="rId2" display="https://www.ncbi.nlm.nih.gov/pmc/articles/PMC4811648/" xr:uid="{00000000-0004-0000-0000-000008000000}"/>
    <hyperlink ref="U57" r:id="rId3" display="https://www.ncbi.nlm.nih.gov/pmc/articles/PMC5469153/" xr:uid="{00000000-0004-0000-0000-000009000000}"/>
    <hyperlink ref="U59" r:id="rId4" display="https://www.ncbi.nlm.nih.gov/pmc/articles/PMC2875267/" xr:uid="{00000000-0004-0000-0000-00000B000000}"/>
    <hyperlink ref="U60" r:id="rId5" display="https://www.ncbi.nlm.nih.gov/pmc/articles/PMC3310660/" xr:uid="{00000000-0004-0000-0000-00000D000000}"/>
    <hyperlink ref="U56" r:id="rId6" display="https://www.ncbi.nlm.nih.gov/pmc/articles/PMC2627720/pdf/10511520.pdf" xr:uid="{00000000-0004-0000-0000-000010000000}"/>
    <hyperlink ref="U64" r:id="rId7" display="http://www.ajtmh.org/docserver/fulltext/14761645/18/3/TM0180030411.pdf?expires=1560518038&amp;id=id&amp;accname=12501&amp;checksum=3A129DA832CB4F4A87B24DC27A8313D3" xr:uid="{00000000-0004-0000-0000-000011000000}"/>
    <hyperlink ref="U86" r:id="rId8" display="http://www.ajtmh.org/docserver/fulltext/14761645/45/1/TM0450010146.pdf?expires=1560519220&amp;id=id&amp;accname=12501&amp;checksum=DEED8E1A917ED83FEB78162BF5993A0C" xr:uid="{00000000-0004-0000-0000-000012000000}"/>
    <hyperlink ref="U88" r:id="rId9" display="https://www.sciencedirect.com/science/article/pii/S1567134811001079?via%3Dihub" xr:uid="{00000000-0004-0000-0000-000013000000}"/>
    <hyperlink ref="U116" r:id="rId10" display="https://www.ncbi.nlm.nih.gov/pmc/articles/PMC5906542/" xr:uid="{00000000-0004-0000-0000-000014000000}"/>
    <hyperlink ref="U117" r:id="rId11" display="https://www.ncbi.nlm.nih.gov/pubmed/28377" xr:uid="{00000000-0004-0000-0000-000015000000}"/>
    <hyperlink ref="U122" r:id="rId12" xr:uid="{00000000-0004-0000-0000-000017000000}"/>
    <hyperlink ref="U123" r:id="rId13" display="https://www.ncbi.nlm.nih.gov/pmc/articles/PMC2929076/" xr:uid="{00000000-0004-0000-0000-000018000000}"/>
    <hyperlink ref="U130" r:id="rId14" display="https://www.ncbi.nlm.nih.gov/pmc/articles/PMC2990042/" xr:uid="{00000000-0004-0000-0000-00001A000000}"/>
    <hyperlink ref="U136" r:id="rId15" display="https://www.ncbi.nlm.nih.gov/pmc/articles/PMC354180" xr:uid="{00000000-0004-0000-0000-00001C000000}"/>
    <hyperlink ref="U137" r:id="rId16" display="https://www.ncbi.nlm.nih.gov/pmc/articles/PMC4111194/" xr:uid="{00000000-0004-0000-0000-00001E000000}"/>
    <hyperlink ref="U215" r:id="rId17" display="https://www.ncbi.nlm.nih.gov/pmc/articles/PMC1624163/pdf/amjphnation01100-0024.pdf" xr:uid="{00000000-0004-0000-0000-00001F000000}"/>
    <hyperlink ref="U214" r:id="rId18" display="https://wwwnc.cdc.gov/eid/article/14/8/pdfs/08-0100.pdf" xr:uid="{00000000-0004-0000-0000-000023000000}"/>
    <hyperlink ref="U219" r:id="rId19" display="https://www.ncbi.nlm.nih.gov/pmc/articles/PMC2626822/pdf/8903150.pdf" xr:uid="{00000000-0004-0000-0000-000025000000}"/>
    <hyperlink ref="V219" r:id="rId20" display="http://www.ajtmh.org/docserver/fulltext/14761645/76/3/0760417.pdf?expires=1562767440&amp;id=id&amp;accname=12501&amp;checksum=D701037C951FD3C91636832930260636" xr:uid="{00000000-0004-0000-0000-000026000000}"/>
    <hyperlink ref="U220" r:id="rId21" display="https://www.ncbi.nlm.nih.gov/pubmed/17448935" xr:uid="{00000000-0004-0000-0000-000027000000}"/>
    <hyperlink ref="U221" r:id="rId22" display="https://academic.oup.com/jme/article/49/3/731/875915" xr:uid="{00000000-0004-0000-0000-000028000000}"/>
    <hyperlink ref="U224" r:id="rId23" display="https://www.ncbi.nlm.nih.gov/pubmed/8610461" xr:uid="{00000000-0004-0000-0000-00002A000000}"/>
    <hyperlink ref="U225" r:id="rId24" display="https://www.ncbi.nlm.nih.gov/pubmed/27101567" xr:uid="{00000000-0004-0000-0000-00002B000000}"/>
    <hyperlink ref="U226" r:id="rId25" display="https://www.ncbi.nlm.nih.gov/pubmed/10028074" xr:uid="{00000000-0004-0000-0000-00002C000000}"/>
    <hyperlink ref="U228" r:id="rId26" display="https://www.ncbi.nlm.nih.gov/pmc/articles/PMC2804100/" xr:uid="{00000000-0004-0000-0000-00002D000000}"/>
    <hyperlink ref="U229" r:id="rId27" display="https://www.ncbi.nlm.nih.gov/pubmed/25276943" xr:uid="{00000000-0004-0000-0000-00002E000000}"/>
    <hyperlink ref="U231" r:id="rId28" display="https://www.ncbi.nlm.nih.gov/pubmed/16607002" xr:uid="{00000000-0004-0000-0000-00002F000000}"/>
    <hyperlink ref="U234" r:id="rId29" display="https://www.ncbi.nlm.nih.gov/pubmed/12491154" xr:uid="{00000000-0004-0000-0000-000030000000}"/>
    <hyperlink ref="U238" r:id="rId30" display="https://www.ncbi.nlm.nih.gov/pubmed/1259093" xr:uid="{00000000-0004-0000-0000-000031000000}"/>
    <hyperlink ref="U239" r:id="rId31" display="https://www.ncbi.nlm.nih.gov/pubmed/18015747" xr:uid="{00000000-0004-0000-0000-000032000000}"/>
    <hyperlink ref="U240" r:id="rId32" display="https://www.ncbi.nlm.nih.gov/pubmed/4381558" xr:uid="{00000000-0004-0000-0000-000033000000}"/>
    <hyperlink ref="V240" r:id="rId33" display="https://www.ncbi.nlm.nih.gov/pubmed/21734146" xr:uid="{00000000-0004-0000-0000-000034000000}"/>
    <hyperlink ref="U55" r:id="rId34" display="https://www.ncbi.nlm.nih.gov/pubmed/22432670" xr:uid="{00000000-0004-0000-0000-000035000000}"/>
    <hyperlink ref="U121" r:id="rId35" display="https://www.ncbi.nlm.nih.gov/pubmed/4750609" xr:uid="{00000000-0004-0000-0000-000036000000}"/>
    <hyperlink ref="U128" r:id="rId36" display="https://www.ncbi.nlm.nih.gov/pubmed/3729731" xr:uid="{00000000-0004-0000-0000-000037000000}"/>
    <hyperlink ref="U129" r:id="rId37" display="https://www.ncbi.nlm.nih.gov/pubmed/14292787" xr:uid="{00000000-0004-0000-0000-000038000000}"/>
    <hyperlink ref="U131" r:id="rId38" display="https://www.ncbi.nlm.nih.gov/pubmed/6782898/" xr:uid="{00000000-0004-0000-0000-000039000000}"/>
    <hyperlink ref="U222" r:id="rId39" display="https://www.ncbi.nlm.nih.gov/pmc/articles/PMC3291350/" xr:uid="{00000000-0004-0000-0000-00003A000000}"/>
    <hyperlink ref="V222" r:id="rId40" display="https://www.ncbi.nlm.nih.gov/pubmed/3706626" xr:uid="{00000000-0004-0000-0000-00003B000000}"/>
    <hyperlink ref="U223" r:id="rId41" display="https://www.ncbi.nlm.nih.gov/pubmed/4082267" xr:uid="{00000000-0004-0000-0000-00003C000000}"/>
    <hyperlink ref="V60" r:id="rId42" display="https://www.ncbi.nlm.nih.gov/pmc/articles/PMC3820315/" xr:uid="{00000000-0004-0000-0000-00003E000000}"/>
    <hyperlink ref="V87" r:id="rId43" display="https://www.ncbi.nlm.nih.gov/pmc/articles/PMC5866268/" xr:uid="{00000000-0004-0000-0000-00003F000000}"/>
    <hyperlink ref="V88" r:id="rId44" display="https://www.ncbi.nlm.nih.gov/pmc/articles/PMC5866268/" xr:uid="{00000000-0004-0000-0000-000040000000}"/>
    <hyperlink ref="V117" r:id="rId45" display="https://www.ncbi.nlm.nih.gov/pmc/articles/PMC2141559/" xr:uid="{00000000-0004-0000-0000-000041000000}"/>
    <hyperlink ref="V119" r:id="rId46" display="https://www.ncbi.nlm.nih.gov/pubmed/13691675" xr:uid="{00000000-0004-0000-0000-000042000000}"/>
    <hyperlink ref="V124" r:id="rId47" display="http://www.ajtmh.org/docserver/fulltext/14761645/39/5/TM0390050519.pdf?expires=1560770761&amp;id=id&amp;accname=12501&amp;checksum=161343FF4B6E0576B8CF33E530A26AB7" xr:uid="{00000000-0004-0000-0000-000043000000}"/>
    <hyperlink ref="V214" r:id="rId48" display="https://www.ncbi.nlm.nih.gov/pmc/articles/PMC3322026/" xr:uid="{00000000-0004-0000-0000-000044000000}"/>
    <hyperlink ref="U235" r:id="rId49" display="https://www.ncbi.nlm.nih.gov/pubmed/14028387" xr:uid="{00000000-0004-0000-0000-000045000000}"/>
    <hyperlink ref="U236" r:id="rId50" display="https://www.ncbi.nlm.nih.gov/pubmed/11463116" xr:uid="{00000000-0004-0000-0000-000046000000}"/>
    <hyperlink ref="U237" r:id="rId51" display="https://www.ncbi.nlm.nih.gov/pubmed/14070772" xr:uid="{00000000-0004-0000-0000-000047000000}"/>
    <hyperlink ref="U230" r:id="rId52" display="https://www.ncbi.nlm.nih.gov/pubmed/22310545" xr:uid="{00000000-0004-0000-0000-000048000000}"/>
    <hyperlink ref="U233" r:id="rId53" display="https://www.ncbi.nlm.nih.gov/pmc/articles/PMC89008/" xr:uid="{00000000-0004-0000-0000-000049000000}"/>
    <hyperlink ref="U227" r:id="rId54" display="https://www.ncbi.nlm.nih.gov/pmc/articles/PMC5557581/" xr:uid="{00000000-0004-0000-0000-00004A000000}"/>
    <hyperlink ref="U202" r:id="rId55" display="https://www.ncbi.nlm.nih.gov/pubmed/192094" xr:uid="{00000000-0004-0000-0000-00004B000000}"/>
    <hyperlink ref="U203" r:id="rId56" display="https://www.ncbi.nlm.nih.gov/pubmed/6091472" xr:uid="{00000000-0004-0000-0000-00004C000000}"/>
    <hyperlink ref="U205" r:id="rId57" display="https://link.springer.com/article/10.1007/BF01241673" xr:uid="{00000000-0004-0000-0000-00004D000000}"/>
    <hyperlink ref="U38" r:id="rId58" display="https://www.ncbi.nlm.nih.gov/pubmed/23515021" xr:uid="{00000000-0004-0000-0000-00004E000000}"/>
    <hyperlink ref="V38" r:id="rId59" display="https://www.ncbi.nlm.nih.gov/pmc/articles/PMC4342338/" xr:uid="{00000000-0004-0000-0000-00004F000000}"/>
    <hyperlink ref="U39" r:id="rId60" display="https://www.ncbi.nlm.nih.gov/pmc/articles/PMC4559182/" xr:uid="{00000000-0004-0000-0000-000050000000}"/>
    <hyperlink ref="U40" r:id="rId61" display="https://www.ncbi.nlm.nih.gov/pubmed/1263214" xr:uid="{00000000-0004-0000-0000-000051000000}"/>
    <hyperlink ref="U49" r:id="rId62" display="https://www.ncbi.nlm.nih.gov/pubmed/1337744" xr:uid="{00000000-0004-0000-0000-000052000000}"/>
    <hyperlink ref="U61" r:id="rId63" display="https://www.ncbi.nlm.nih.gov/pubmed/13005679" xr:uid="{00000000-0004-0000-0000-000053000000}"/>
    <hyperlink ref="U62" r:id="rId64" display="https://www.ncbi.nlm.nih.gov/pubmed/21871214" xr:uid="{00000000-0004-0000-0000-000054000000}"/>
    <hyperlink ref="U46" r:id="rId65" display="https://www.ncbi.nlm.nih.gov/pubmed/9463659" xr:uid="{00000000-0004-0000-0000-000055000000}"/>
    <hyperlink ref="U97" r:id="rId66" display="https://www.ncbi.nlm.nih.gov/pubmed/22526290" xr:uid="{00000000-0004-0000-0000-000056000000}"/>
    <hyperlink ref="U98" r:id="rId67" display="https://www.ncbi.nlm.nih.gov/pubmed/22526290" xr:uid="{00000000-0004-0000-0000-000057000000}"/>
    <hyperlink ref="U132" r:id="rId68" xr:uid="{00000000-0004-0000-0000-000058000000}"/>
    <hyperlink ref="U134" r:id="rId69" display="https://www.ncbi.nlm.nih.gov/pubmed/29476812" xr:uid="{00000000-0004-0000-0000-000059000000}"/>
    <hyperlink ref="U143" r:id="rId70" display="https://www.ncbi.nlm.nih.gov/pubmed/2829707" xr:uid="{00000000-0004-0000-0000-00005A000000}"/>
    <hyperlink ref="U141" r:id="rId71" display="https://www.ncbi.nlm.nih.gov/pubmed/2862206" xr:uid="{00000000-0004-0000-0000-00005B000000}"/>
    <hyperlink ref="V141" r:id="rId72" display="https://www.ncbi.nlm.nih.gov/pubmed/7446827" xr:uid="{00000000-0004-0000-0000-00005C000000}"/>
    <hyperlink ref="U140" r:id="rId73" display="https://www.ncbi.nlm.nih.gov/pubmed/14501989" xr:uid="{00000000-0004-0000-0000-00005D000000}"/>
    <hyperlink ref="U146" r:id="rId74" display="https://www.ncbi.nlm.nih.gov/pubmed/4122382" xr:uid="{00000000-0004-0000-0000-00005E000000}"/>
    <hyperlink ref="U206" r:id="rId75" display="https://www.ncbi.nlm.nih.gov/pubmed/27213426" xr:uid="{00000000-0004-0000-0000-00005F000000}"/>
    <hyperlink ref="U209" r:id="rId76" display="https://www.ncbi.nlm.nih.gov/pubmed/24475112" xr:uid="{00000000-0004-0000-0000-000060000000}"/>
    <hyperlink ref="U91" r:id="rId77" display="22864548" xr:uid="{00000000-0004-0000-0000-000061000000}"/>
    <hyperlink ref="V131" r:id="rId78" display="https://pubmed.ncbi.nlm.nih.gov/38004319/" xr:uid="{00000000-0004-0000-0000-000062000000}"/>
    <hyperlink ref="V122" r:id="rId79" display="https://pubmed.ncbi.nlm.nih.gov/38004319/" xr:uid="{00000000-0004-0000-0000-000063000000}"/>
    <hyperlink ref="V142" r:id="rId80" display="https://pubmed.ncbi.nlm.nih.gov/20089800/" xr:uid="{00000000-0004-0000-0000-000064000000}"/>
    <hyperlink ref="V144" r:id="rId81" display="https://pubmed.ncbi.nlm.nih.gov/16972358/" xr:uid="{00000000-0004-0000-0000-000065000000}"/>
    <hyperlink ref="U151" r:id="rId82" display="https://pubmed.ncbi.nlm.nih.gov/27723176/" xr:uid="{00000000-0004-0000-0000-000066000000}"/>
    <hyperlink ref="U145" r:id="rId83" display="https://pubmed.ncbi.nlm.nih.gov/35133905/" xr:uid="{00000000-0004-0000-0000-000067000000}"/>
    <hyperlink ref="V145" r:id="rId84" display="https://pubmed.ncbi.nlm.nih.gov/38476950/" xr:uid="{00000000-0004-0000-0000-000068000000}"/>
    <hyperlink ref="AF87" r:id="rId85" display="https://www.ncbi.nlm.nih.gov/pubmed/10747269" xr:uid="{00000000-0004-0000-0000-000069000000}"/>
    <hyperlink ref="AF93" r:id="rId86" display="https://www.ncbi.nlm.nih.gov/pubmed/28302313" xr:uid="{00000000-0004-0000-0000-00006A000000}"/>
    <hyperlink ref="AF20" r:id="rId87" display="https://www.ncbi.nlm.nih.gov/pubmed/22317811" xr:uid="{00000000-0004-0000-0000-00006B000000}"/>
    <hyperlink ref="AF170" r:id="rId88" display="https://www.ncbi.nlm.nih.gov/pubmed/16220089" xr:uid="{00000000-0004-0000-0000-00006C000000}"/>
    <hyperlink ref="AF159" r:id="rId89" display="https://www.ncbi.nlm.nih.gov/pubmed/205151" xr:uid="{00000000-0004-0000-0000-00006D000000}"/>
    <hyperlink ref="AF161" r:id="rId90" display="https://www.ncbi.nlm.nih.gov/pubmed/205151" xr:uid="{00000000-0004-0000-0000-00006E000000}"/>
    <hyperlink ref="AF162" r:id="rId91" display="https://www.ncbi.nlm.nih.gov/pubmed/205151" xr:uid="{00000000-0004-0000-0000-00006F000000}"/>
    <hyperlink ref="AF210" r:id="rId92" display="https://www.ncbi.nlm.nih.gov/pubmed/18712810" xr:uid="{00000000-0004-0000-0000-000070000000}"/>
    <hyperlink ref="AF206" r:id="rId93" display="https://www.ncbi.nlm.nih.gov/pubmed/27213426" xr:uid="{00000000-0004-0000-0000-000071000000}"/>
    <hyperlink ref="AF208" r:id="rId94" xr:uid="{00000000-0004-0000-0000-000072000000}"/>
    <hyperlink ref="AF105" r:id="rId95" xr:uid="{00000000-0004-0000-0000-000073000000}"/>
    <hyperlink ref="AF104" r:id="rId96" xr:uid="{00000000-0004-0000-0000-000074000000}"/>
    <hyperlink ref="AF16" r:id="rId97" display="https://www.ncbi.nlm.nih.gov/pubmed/24789796" xr:uid="{00000000-0004-0000-0000-000075000000}"/>
    <hyperlink ref="AF216" r:id="rId98" display="https://www.ncbi.nlm.nih.gov/pubmed/22526290" xr:uid="{00000000-0004-0000-0000-000076000000}"/>
    <hyperlink ref="AF52" r:id="rId99" display="https://www.ncbi.nlm.nih.gov/pubmed/19486319" xr:uid="{00000000-0004-0000-0000-000077000000}"/>
    <hyperlink ref="AF54" r:id="rId100" xr:uid="{00000000-0004-0000-0000-000078000000}"/>
    <hyperlink ref="AF53" r:id="rId101" xr:uid="{00000000-0004-0000-0000-000079000000}"/>
    <hyperlink ref="AF46" r:id="rId102" xr:uid="{00000000-0004-0000-0000-00007A000000}"/>
    <hyperlink ref="AF100" r:id="rId103" display="https://www.ncbi.nlm.nih.gov/pubmed/23302882" xr:uid="{00000000-0004-0000-0000-00007B000000}"/>
    <hyperlink ref="AF94" r:id="rId104" display="https://www.ncbi.nlm.nih.gov/pubmed/28302313" xr:uid="{00000000-0004-0000-0000-00007C000000}"/>
    <hyperlink ref="AF95" r:id="rId105" display="https://www.ncbi.nlm.nih.gov/pubmed/28302313" xr:uid="{00000000-0004-0000-0000-00007D000000}"/>
    <hyperlink ref="AF6" r:id="rId106" display="https://www.ncbi.nlm.nih.gov/pubmed/12615305" xr:uid="{00000000-0004-0000-0000-00007E000000}"/>
    <hyperlink ref="AF7" r:id="rId107" display="https://www.ncbi.nlm.nih.gov/pubmed/12615305" xr:uid="{00000000-0004-0000-0000-00007F000000}"/>
    <hyperlink ref="AF8" r:id="rId108" display="https://www.ncbi.nlm.nih.gov/pubmed/15487592" xr:uid="{00000000-0004-0000-0000-000080000000}"/>
    <hyperlink ref="AF5" r:id="rId109" display="https://www.ncbi.nlm.nih.gov/pubmed/23666045" xr:uid="{00000000-0004-0000-0000-000081000000}"/>
    <hyperlink ref="AF102" r:id="rId110" display="https://www.ncbi.nlm.nih.gov/pubmed/24929750" xr:uid="{00000000-0004-0000-0000-000082000000}"/>
    <hyperlink ref="AF198" r:id="rId111" display="https://www.ncbi.nlm.nih.gov/pubmed/23034141" xr:uid="{00000000-0004-0000-0000-000083000000}"/>
    <hyperlink ref="AF157" r:id="rId112" display="https://www.ncbi.nlm.nih.gov/pubmed/19033469" xr:uid="{00000000-0004-0000-0000-000084000000}"/>
    <hyperlink ref="AF156" r:id="rId113" display="https://www.ncbi.nlm.nih.gov/pubmed/19033469" xr:uid="{00000000-0004-0000-0000-000085000000}"/>
    <hyperlink ref="AF155" r:id="rId114" display="https://www.ncbi.nlm.nih.gov/pubmed/19033469" xr:uid="{00000000-0004-0000-0000-000086000000}"/>
    <hyperlink ref="AF154" r:id="rId115" display="https://www.ncbi.nlm.nih.gov/pubmed/19033469" xr:uid="{00000000-0004-0000-0000-000087000000}"/>
    <hyperlink ref="AF153" r:id="rId116" display="https://www.ncbi.nlm.nih.gov/pubmed/19033469" xr:uid="{00000000-0004-0000-0000-000088000000}"/>
    <hyperlink ref="AF65" r:id="rId117" display="26658760" xr:uid="{00000000-0004-0000-0000-000089000000}"/>
    <hyperlink ref="AE31" r:id="rId118" xr:uid="{00000000-0004-0000-0000-00008A000000}"/>
    <hyperlink ref="AE225" r:id="rId119" display="https://www.ncbi.nlm.nih.gov/pubmed/27101567" xr:uid="{00000000-0004-0000-0000-00008B000000}"/>
    <hyperlink ref="AE65" r:id="rId120" display="https://www.ncbi.nlm.nih.gov/pubmed/26396247" xr:uid="{00000000-0004-0000-0000-00008C000000}"/>
    <hyperlink ref="AE153" r:id="rId121" xr:uid="{00000000-0004-0000-0000-00008D000000}"/>
    <hyperlink ref="AE154" r:id="rId122" xr:uid="{00000000-0004-0000-0000-00008E000000}"/>
    <hyperlink ref="AE155" r:id="rId123" xr:uid="{00000000-0004-0000-0000-00008F000000}"/>
    <hyperlink ref="AE156" r:id="rId124" xr:uid="{00000000-0004-0000-0000-000090000000}"/>
    <hyperlink ref="AE157" r:id="rId125" xr:uid="{00000000-0004-0000-0000-000091000000}"/>
    <hyperlink ref="AE188" r:id="rId126" xr:uid="{00000000-0004-0000-0000-000092000000}"/>
    <hyperlink ref="AE222" r:id="rId127" xr:uid="{00000000-0004-0000-0000-000093000000}"/>
    <hyperlink ref="AE224" r:id="rId128" display="https://www.ncbi.nlm.nih.gov/pubmed/19651164" xr:uid="{00000000-0004-0000-0000-000094000000}"/>
    <hyperlink ref="AE179" r:id="rId129" xr:uid="{00000000-0004-0000-0000-000095000000}"/>
    <hyperlink ref="AE102" r:id="rId130" display="https://www.ncbi.nlm.nih.gov/pubmed/18568081/" xr:uid="{00000000-0004-0000-0000-000096000000}"/>
    <hyperlink ref="AE204" r:id="rId131" display="https://www.ncbi.nlm.nih.gov/pubmed/23034141/" xr:uid="{00000000-0004-0000-0000-000097000000}"/>
    <hyperlink ref="AE178" r:id="rId132" display="https://www.ncbi.nlm.nih.gov/pubmed/15911757/" xr:uid="{00000000-0004-0000-0000-000098000000}"/>
    <hyperlink ref="AE177" r:id="rId133" display="https://www.ncbi.nlm.nih.gov/pubmed/15911757/" xr:uid="{00000000-0004-0000-0000-000099000000}"/>
    <hyperlink ref="AE176" r:id="rId134" display="https://www.ncbi.nlm.nih.gov/pubmed/15911757/" xr:uid="{00000000-0004-0000-0000-00009A000000}"/>
    <hyperlink ref="AE143" r:id="rId135" display="https://www.ncbi.nlm.nih.gov/pubmed/4206329/" xr:uid="{00000000-0004-0000-0000-00009B000000}"/>
    <hyperlink ref="AE162" r:id="rId136" display="https://www.ncbi.nlm.nih.gov/pubmed/6261689/" xr:uid="{00000000-0004-0000-0000-00009C000000}"/>
    <hyperlink ref="AE161" r:id="rId137" display="https://www.ncbi.nlm.nih.gov/pubmed/6261689/" xr:uid="{00000000-0004-0000-0000-00009D000000}"/>
    <hyperlink ref="AE159" r:id="rId138" display="https://www.ncbi.nlm.nih.gov/pubmed/6261689/" xr:uid="{00000000-0004-0000-0000-00009E000000}"/>
    <hyperlink ref="AE230" r:id="rId139" xr:uid="{00000000-0004-0000-0000-00009F000000}"/>
    <hyperlink ref="AE210" r:id="rId140" display="https://www.ncbi.nlm.nih.gov/pubmed/21575246/" xr:uid="{00000000-0004-0000-0000-0000A0000000}"/>
    <hyperlink ref="AE212" r:id="rId141" xr:uid="{00000000-0004-0000-0000-0000A1000000}"/>
    <hyperlink ref="AE108" r:id="rId142" display="https://www.ncbi.nlm.nih.gov/pubmed/2212992" xr:uid="{00000000-0004-0000-0000-0000A2000000}"/>
    <hyperlink ref="AE91" r:id="rId143" xr:uid="{00000000-0004-0000-0000-0000A3000000}"/>
    <hyperlink ref="AE113" r:id="rId144" display="https://www.ncbi.nlm.nih.gov/pubmed/17703419/" xr:uid="{00000000-0004-0000-0000-0000A4000000}"/>
    <hyperlink ref="AE236" r:id="rId145" xr:uid="{00000000-0004-0000-0000-0000A5000000}"/>
    <hyperlink ref="AE238" r:id="rId146" display="https://www.ncbi.nlm.nih.gov/pubmed/22989182" xr:uid="{00000000-0004-0000-0000-0000A6000000}"/>
    <hyperlink ref="AE56" r:id="rId147" display="https://www.ncbi.nlm.nih.gov/pubmed/17332186" xr:uid="{00000000-0004-0000-0000-0000A7000000}"/>
    <hyperlink ref="AE239" r:id="rId148" display="https://www.ncbi.nlm.nih.gov/pubmed/22989182" xr:uid="{00000000-0004-0000-0000-0000A8000000}"/>
    <hyperlink ref="AE240" r:id="rId149" display="https://www.ncbi.nlm.nih.gov/pubmed/15381803" xr:uid="{00000000-0004-0000-0000-0000A9000000}"/>
    <hyperlink ref="AE223" r:id="rId150" xr:uid="{00000000-0004-0000-0000-0000AA000000}"/>
    <hyperlink ref="AE195" r:id="rId151" display="https://www.ncbi.nlm.nih.gov/pubmed/23028323" xr:uid="{00000000-0004-0000-0000-0000AB000000}"/>
    <hyperlink ref="AE194" r:id="rId152" display="https://www.ncbi.nlm.nih.gov/pubmed/23028323" xr:uid="{00000000-0004-0000-0000-0000AC000000}"/>
    <hyperlink ref="AE22" r:id="rId153" display="https://www.ncbi.nlm.nih.gov/pubmed/6283714" xr:uid="{00000000-0004-0000-0000-0000AD000000}"/>
    <hyperlink ref="AE201" r:id="rId154" display="https://www.ncbi.nlm.nih.gov/pubmed/?term=4335268" xr:uid="{00000000-0004-0000-0000-0000AE000000}"/>
    <hyperlink ref="AE172" r:id="rId155" display="https://www.ncbi.nlm.nih.gov/pubmed/26193371" xr:uid="{00000000-0004-0000-0000-0000AF000000}"/>
    <hyperlink ref="AE184" r:id="rId156" display="https://www.ncbi.nlm.nih.gov/pubmed/24109214" xr:uid="{00000000-0004-0000-0000-0000B0000000}"/>
    <hyperlink ref="AE21" r:id="rId157" display="https://www.ncbi.nlm.nih.gov/pubmed/27120472" xr:uid="{00000000-0004-0000-0000-0000B1000000}"/>
    <hyperlink ref="AE114" r:id="rId158" xr:uid="{00000000-0004-0000-0000-0000B2000000}"/>
    <hyperlink ref="AE141" r:id="rId159" display="https://www.ncbi.nlm.nih.gov/pubmed/25569474" xr:uid="{00000000-0004-0000-0000-0000B3000000}"/>
    <hyperlink ref="AE72" r:id="rId160" display="https://www.ncbi.nlm.nih.gov/pubmed/18305044" xr:uid="{00000000-0004-0000-0000-0000B4000000}"/>
    <hyperlink ref="AE133" r:id="rId161" display="https://www.ncbi.nlm.nih.gov/pubmed/24134941" xr:uid="{00000000-0004-0000-0000-0000B5000000}"/>
    <hyperlink ref="AE124" r:id="rId162" display="https://www.ncbi.nlm.nih.gov/pubmed/13793361" xr:uid="{00000000-0004-0000-0000-0000B6000000}"/>
    <hyperlink ref="AE13" r:id="rId163" xr:uid="{00000000-0004-0000-0000-0000B7000000}"/>
    <hyperlink ref="AE11" r:id="rId164" display="https://www.ncbi.nlm.nih.gov/pubmed/26982388" xr:uid="{00000000-0004-0000-0000-0000B8000000}"/>
    <hyperlink ref="AE10" r:id="rId165" display="https://www.ncbi.nlm.nih.gov/pubmed/25031335" xr:uid="{00000000-0004-0000-0000-0000B9000000}"/>
    <hyperlink ref="AE5" r:id="rId166" display="https://www.ncbi.nlm.nih.gov/pubmed/26631809" xr:uid="{00000000-0004-0000-0000-0000BA000000}"/>
    <hyperlink ref="AE8" r:id="rId167" xr:uid="{00000000-0004-0000-0000-0000BB000000}"/>
    <hyperlink ref="AE7" r:id="rId168" display="https://www.ncbi.nlm.nih.gov/pubmed/24901990" xr:uid="{00000000-0004-0000-0000-0000BC000000}"/>
    <hyperlink ref="AE6" r:id="rId169" display="https://www.ncbi.nlm.nih.gov/pubmed/8166352" xr:uid="{00000000-0004-0000-0000-0000BD000000}"/>
    <hyperlink ref="AE193" r:id="rId170" display="https://www.ncbi.nlm.nih.gov/pubmed/23597620" xr:uid="{00000000-0004-0000-0000-0000BE000000}"/>
    <hyperlink ref="AE190" r:id="rId171" xr:uid="{00000000-0004-0000-0000-0000BF000000}"/>
    <hyperlink ref="AE189" r:id="rId172" xr:uid="{00000000-0004-0000-0000-0000C0000000}"/>
    <hyperlink ref="AE95" r:id="rId173" display="https://www.ncbi.nlm.nih.gov/pubmed/23408893" xr:uid="{00000000-0004-0000-0000-0000C1000000}"/>
    <hyperlink ref="AE94" r:id="rId174" display="https://www.ncbi.nlm.nih.gov/pubmed/25268241" xr:uid="{00000000-0004-0000-0000-0000C2000000}"/>
    <hyperlink ref="AE168" r:id="rId175" display="https://www.ncbi.nlm.nih.gov/pubmed/25050760" xr:uid="{00000000-0004-0000-0000-0000C3000000}"/>
    <hyperlink ref="AE37" r:id="rId176" display="https://www.ncbi.nlm.nih.gov/pubmed/26212868" xr:uid="{00000000-0004-0000-0000-0000C4000000}"/>
    <hyperlink ref="AE99" r:id="rId177" display="https://www.ncbi.nlm.nih.gov/pubmed/23302882" xr:uid="{00000000-0004-0000-0000-0000C5000000}"/>
    <hyperlink ref="AE46" r:id="rId178" display="https://www.ncbi.nlm.nih.gov/pubmed/25672346" xr:uid="{00000000-0004-0000-0000-0000C6000000}"/>
    <hyperlink ref="AE53" r:id="rId179" display="https://www.ncbi.nlm.nih.gov/pubmed/23474474" xr:uid="{00000000-0004-0000-0000-0000C7000000}"/>
    <hyperlink ref="AE54" r:id="rId180" display="https://www.ncbi.nlm.nih.gov/pubmed/24552787" xr:uid="{00000000-0004-0000-0000-0000C8000000}"/>
    <hyperlink ref="AE52" r:id="rId181" display="https://www.ncbi.nlm.nih.gov/pubmed/22984545" xr:uid="{00000000-0004-0000-0000-0000C9000000}"/>
    <hyperlink ref="AE48" r:id="rId182" display="https://www.ncbi.nlm.nih.gov/pubmed/23875051" xr:uid="{00000000-0004-0000-0000-0000CA000000}"/>
    <hyperlink ref="AE43" r:id="rId183" xr:uid="{00000000-0004-0000-0000-0000CB000000}"/>
    <hyperlink ref="AE216" r:id="rId184" display="https://www.ncbi.nlm.nih.gov/pubmed/6508529" xr:uid="{00000000-0004-0000-0000-0000CC000000}"/>
    <hyperlink ref="AE233" r:id="rId185" display="https://www.ncbi.nlm.nih.gov/pubmed/24799374" xr:uid="{00000000-0004-0000-0000-0000CD000000}"/>
    <hyperlink ref="AE77" r:id="rId186" display="https://www.ncbi.nlm.nih.gov/pubmed/23305714" xr:uid="{00000000-0004-0000-0000-0000CE000000}"/>
    <hyperlink ref="AE78" r:id="rId187" xr:uid="{00000000-0004-0000-0000-0000CF000000}"/>
    <hyperlink ref="AE74" r:id="rId188" xr:uid="{00000000-0004-0000-0000-0000D0000000}"/>
    <hyperlink ref="AE69" r:id="rId189" display="https://www.ncbi.nlm.nih.gov/pubmed/20836801" xr:uid="{00000000-0004-0000-0000-0000D1000000}"/>
    <hyperlink ref="AE39" r:id="rId190" display="https://www.ncbi.nlm.nih.gov/pubmed/24056604" xr:uid="{00000000-0004-0000-0000-0000D2000000}"/>
    <hyperlink ref="AE173" r:id="rId191" display="https://www.ncbi.nlm.nih.gov/pubmed/24637582" xr:uid="{00000000-0004-0000-0000-0000D3000000}"/>
    <hyperlink ref="AE187" r:id="rId192" xr:uid="{00000000-0004-0000-0000-0000D4000000}"/>
    <hyperlink ref="AE183" r:id="rId193" display="https://www.ncbi.nlm.nih.gov/pubmed/10516034" xr:uid="{00000000-0004-0000-0000-0000D5000000}"/>
    <hyperlink ref="AE136" r:id="rId194" xr:uid="{00000000-0004-0000-0000-0000D6000000}"/>
    <hyperlink ref="AE79" r:id="rId195" xr:uid="{00000000-0004-0000-0000-0000D7000000}"/>
    <hyperlink ref="AE134" r:id="rId196" xr:uid="{00000000-0004-0000-0000-0000D8000000}"/>
    <hyperlink ref="AE137" r:id="rId197" display="https://www.ncbi.nlm.nih.gov/pubmed/25061851" xr:uid="{00000000-0004-0000-0000-0000D9000000}"/>
    <hyperlink ref="AE76" r:id="rId198" xr:uid="{00000000-0004-0000-0000-0000DA000000}"/>
    <hyperlink ref="AE211" r:id="rId199" xr:uid="{00000000-0004-0000-0000-0000DB000000}"/>
    <hyperlink ref="AE213" r:id="rId200" display="https://www.ncbi.nlm.nih.gov/pubmed/28558823" xr:uid="{00000000-0004-0000-0000-0000DC000000}"/>
    <hyperlink ref="AE3" r:id="rId201" xr:uid="{00000000-0004-0000-0000-0000DD000000}"/>
    <hyperlink ref="AE132" r:id="rId202" xr:uid="{00000000-0004-0000-0000-0000DE000000}"/>
    <hyperlink ref="AE171" r:id="rId203" display="https://www.ncbi.nlm.nih.gov/pubmed/26489898" xr:uid="{00000000-0004-0000-0000-0000DF000000}"/>
    <hyperlink ref="AE209" r:id="rId204" xr:uid="{00000000-0004-0000-0000-0000E0000000}"/>
    <hyperlink ref="AE131" r:id="rId205" xr:uid="{00000000-0004-0000-0000-0000E1000000}"/>
    <hyperlink ref="AE130" r:id="rId206" xr:uid="{00000000-0004-0000-0000-0000E2000000}"/>
    <hyperlink ref="AE129" r:id="rId207" xr:uid="{00000000-0004-0000-0000-0000E3000000}"/>
    <hyperlink ref="AE57" r:id="rId208" xr:uid="{00000000-0004-0000-0000-0000E4000000}"/>
    <hyperlink ref="AE128" r:id="rId209" display="https://www.ncbi.nlm.nih.gov/pubmed/24633174" xr:uid="{00000000-0004-0000-0000-0000E5000000}"/>
    <hyperlink ref="AE17" r:id="rId210" xr:uid="{00000000-0004-0000-0000-0000E6000000}"/>
    <hyperlink ref="AE15" r:id="rId211" xr:uid="{00000000-0004-0000-0000-0000E7000000}"/>
    <hyperlink ref="AE16" r:id="rId212" xr:uid="{00000000-0004-0000-0000-0000E8000000}"/>
    <hyperlink ref="AE127" r:id="rId213" display="https://www.ncbi.nlm.nih.gov/pubmed/24633174" xr:uid="{00000000-0004-0000-0000-0000E9000000}"/>
    <hyperlink ref="AE9" r:id="rId214" display="https://www.ncbi.nlm.nih.gov/pubmed/25393244" xr:uid="{00000000-0004-0000-0000-0000EA000000}"/>
    <hyperlink ref="AE104" r:id="rId215" display="https://www.ncbi.nlm.nih.gov/pubmed/19386708" xr:uid="{00000000-0004-0000-0000-0000EB000000}"/>
    <hyperlink ref="AE105" r:id="rId216" display="https://www.ncbi.nlm.nih.gov/pubmed/19386708" xr:uid="{00000000-0004-0000-0000-0000EC000000}"/>
    <hyperlink ref="AE175" r:id="rId217" display="https://www.ncbi.nlm.nih.gov/pubmed/28458916" xr:uid="{00000000-0004-0000-0000-0000ED000000}"/>
    <hyperlink ref="AE180" r:id="rId218" xr:uid="{00000000-0004-0000-0000-0000EE000000}"/>
    <hyperlink ref="AE24" r:id="rId219" display="https://www.ncbi.nlm.nih.gov/pubmed/26556276" xr:uid="{00000000-0004-0000-0000-0000EF000000}"/>
    <hyperlink ref="AE123" r:id="rId220" xr:uid="{00000000-0004-0000-0000-0000F0000000}"/>
    <hyperlink ref="AE122" r:id="rId221" display="https://www.ncbi.nlm.nih.gov/pubmed/234206" xr:uid="{00000000-0004-0000-0000-0000F1000000}"/>
    <hyperlink ref="AE208" r:id="rId222" xr:uid="{00000000-0004-0000-0000-0000F2000000}"/>
    <hyperlink ref="AE165" r:id="rId223" display="https://www.ncbi.nlm.nih.gov/pubmed/28367789" xr:uid="{00000000-0004-0000-0000-0000F3000000}"/>
    <hyperlink ref="AE164" r:id="rId224" display="https://www.ncbi.nlm.nih.gov/pubmed/28367789" xr:uid="{00000000-0004-0000-0000-0000F4000000}"/>
    <hyperlink ref="AE163" r:id="rId225" display="https://www.ncbi.nlm.nih.gov/pubmed/9203732" xr:uid="{00000000-0004-0000-0000-0000F5000000}"/>
    <hyperlink ref="AE160" r:id="rId226" display="https://www.ncbi.nlm.nih.gov/pubmed/26053872" xr:uid="{00000000-0004-0000-0000-0000F6000000}"/>
    <hyperlink ref="AE86" r:id="rId227" xr:uid="{00000000-0004-0000-0000-0000F7000000}"/>
    <hyperlink ref="AE200" r:id="rId228" xr:uid="{00000000-0004-0000-0000-0000F8000000}"/>
    <hyperlink ref="AE70" r:id="rId229" xr:uid="{00000000-0004-0000-0000-0000F9000000}"/>
    <hyperlink ref="AE120" r:id="rId230" xr:uid="{00000000-0004-0000-0000-0000FA000000}"/>
    <hyperlink ref="AE119" r:id="rId231" display="https://www.ncbi.nlm.nih.gov/pubmed/27074162" xr:uid="{00000000-0004-0000-0000-0000FB000000}"/>
    <hyperlink ref="AE121" r:id="rId232" xr:uid="{00000000-0004-0000-0000-0000FC000000}"/>
    <hyperlink ref="AE42" r:id="rId233" xr:uid="{00000000-0004-0000-0000-0000FD000000}"/>
    <hyperlink ref="AE196" r:id="rId234" display="https://www.ncbi.nlm.nih.gov/pubmed/23028323" xr:uid="{00000000-0004-0000-0000-0000FE000000}"/>
    <hyperlink ref="AE38" r:id="rId235" display="https://www.ncbi.nlm.nih.gov/pubmed/6293325" xr:uid="{00000000-0004-0000-0000-0000FF000000}"/>
    <hyperlink ref="AE27" r:id="rId236" display="https://www.ncbi.nlm.nih.gov/pubmed/28549438" xr:uid="{00000000-0004-0000-0000-000000010000}"/>
    <hyperlink ref="AE19" r:id="rId237" xr:uid="{00000000-0004-0000-0000-000001010000}"/>
    <hyperlink ref="AE64" r:id="rId238" xr:uid="{00000000-0004-0000-0000-000002010000}"/>
    <hyperlink ref="AE35" r:id="rId239" display="https://www.ncbi.nlm.nih.gov/pubmed/10024977" xr:uid="{00000000-0004-0000-0000-000003010000}"/>
    <hyperlink ref="AE63" r:id="rId240" display="https://www.ncbi.nlm.nih.gov/pubmed/15958020" xr:uid="{00000000-0004-0000-0000-000004010000}"/>
    <hyperlink ref="AE146" r:id="rId241" display="https://www.ncbi.nlm.nih.gov/pubmed/23239568" xr:uid="{00000000-0004-0000-0000-000005010000}"/>
    <hyperlink ref="AE62" r:id="rId242" xr:uid="{00000000-0004-0000-0000-000006010000}"/>
    <hyperlink ref="AE237" r:id="rId243" display="https://www.ncbi.nlm.nih.gov/pubmed/23085307" xr:uid="{00000000-0004-0000-0000-000007010000}"/>
    <hyperlink ref="AE61" r:id="rId244" display="https://www.ncbi.nlm.nih.gov/pubmed/1659238" xr:uid="{00000000-0004-0000-0000-000008010000}"/>
    <hyperlink ref="AE80" r:id="rId245" display="https://www.ncbi.nlm.nih.gov/pubmed/19889769" xr:uid="{00000000-0004-0000-0000-000009010000}"/>
    <hyperlink ref="AE45" r:id="rId246" display="https://www.ncbi.nlm.nih.gov/pubmed/18240970" xr:uid="{00000000-0004-0000-0000-00000A010000}"/>
    <hyperlink ref="AE81" r:id="rId247" xr:uid="{00000000-0004-0000-0000-00000B010000}"/>
    <hyperlink ref="AE98" r:id="rId248" xr:uid="{00000000-0004-0000-0000-00000C010000}"/>
    <hyperlink ref="AE60" r:id="rId249" display="https://www.ncbi.nlm.nih.gov/pubmed/22000358" xr:uid="{00000000-0004-0000-0000-00000D010000}"/>
    <hyperlink ref="AE34" r:id="rId250" xr:uid="{00000000-0004-0000-0000-00000E010000}"/>
    <hyperlink ref="AE33" r:id="rId251" xr:uid="{00000000-0004-0000-0000-00000F010000}"/>
    <hyperlink ref="AE235" r:id="rId252" xr:uid="{00000000-0004-0000-0000-000010010000}"/>
    <hyperlink ref="AE181" r:id="rId253" display="https://www.ncbi.nlm.nih.gov/pubmed/22673358" xr:uid="{00000000-0004-0000-0000-000011010000}"/>
    <hyperlink ref="AE185" r:id="rId254" display="https://www.ncbi.nlm.nih.gov/pubmed/16608518" xr:uid="{00000000-0004-0000-0000-000012010000}"/>
    <hyperlink ref="AE29" r:id="rId255" display="https://www.ncbi.nlm.nih.gov/pubmed/15018126" xr:uid="{00000000-0004-0000-0000-000013010000}"/>
    <hyperlink ref="AE234" r:id="rId256" display="https://www.ncbi.nlm.nih.gov/pubmed/12491154" xr:uid="{00000000-0004-0000-0000-000014010000}"/>
    <hyperlink ref="AE140" r:id="rId257" display="https://www.ncbi.nlm.nih.gov/pubmed/4206329" xr:uid="{00000000-0004-0000-0000-000015010000}"/>
    <hyperlink ref="AE2" r:id="rId258" display="https://www.ncbi.nlm.nih.gov/pubmed/7905555" xr:uid="{00000000-0004-0000-0000-000016010000}"/>
    <hyperlink ref="AE84" r:id="rId259" display="https://www.ncbi.nlm.nih.gov/pubmed/22855483" xr:uid="{00000000-0004-0000-0000-000017010000}"/>
    <hyperlink ref="AE41" r:id="rId260" xr:uid="{00000000-0004-0000-0000-000018010000}"/>
    <hyperlink ref="AE32" r:id="rId261" display="https://www.ncbi.nlm.nih.gov/pubmed/10024977" xr:uid="{00000000-0004-0000-0000-000019010000}"/>
    <hyperlink ref="AE75" r:id="rId262" display="https://www.ncbi.nlm.nih.gov/pubmed/22877560" xr:uid="{00000000-0004-0000-0000-00001A010000}"/>
    <hyperlink ref="AE59" r:id="rId263" display="https://www.ncbi.nlm.nih.gov/pubmed/20434750" xr:uid="{00000000-0004-0000-0000-00001B010000}"/>
    <hyperlink ref="AE232" r:id="rId264" display="https://www.ncbi.nlm.nih.gov/pubmed/19402767" xr:uid="{00000000-0004-0000-0000-00001C010000}"/>
    <hyperlink ref="AE66" r:id="rId265" display="https://www.ncbi.nlm.nih.gov/pubmed/22752515" xr:uid="{00000000-0004-0000-0000-00001D010000}"/>
    <hyperlink ref="AE170" r:id="rId266" display="https://www.ncbi.nlm.nih.gov/pubmed/11438028" xr:uid="{00000000-0004-0000-0000-00001E010000}"/>
    <hyperlink ref="AE82" r:id="rId267" xr:uid="{00000000-0004-0000-0000-00001F010000}"/>
    <hyperlink ref="AE231" r:id="rId268" xr:uid="{00000000-0004-0000-0000-000020010000}"/>
    <hyperlink ref="AE58" r:id="rId269" xr:uid="{00000000-0004-0000-0000-000021010000}"/>
    <hyperlink ref="AE20" r:id="rId270" display="https://www.ncbi.nlm.nih.gov/pubmed/19796107" xr:uid="{00000000-0004-0000-0000-000022010000}"/>
    <hyperlink ref="AE100" r:id="rId271" display="https://www.ncbi.nlm.nih.gov/pubmed/11243752" xr:uid="{00000000-0004-0000-0000-000023010000}"/>
    <hyperlink ref="AE218" r:id="rId272" display="https://www.ncbi.nlm.nih.gov/pubmed/22905211" xr:uid="{00000000-0004-0000-0000-000024010000}"/>
    <hyperlink ref="AE229" r:id="rId273" xr:uid="{00000000-0004-0000-0000-000025010000}"/>
    <hyperlink ref="AE55" r:id="rId274" xr:uid="{00000000-0004-0000-0000-000026010000}"/>
    <hyperlink ref="AE107" r:id="rId275" display="https://www.ncbi.nlm.nih.gov/pubmed/28068914" xr:uid="{00000000-0004-0000-0000-000027010000}"/>
    <hyperlink ref="AE228" r:id="rId276" xr:uid="{00000000-0004-0000-0000-000028010000}"/>
    <hyperlink ref="AE227" r:id="rId277" xr:uid="{00000000-0004-0000-0000-000029010000}"/>
    <hyperlink ref="AE26" r:id="rId278" xr:uid="{00000000-0004-0000-0000-00002A010000}"/>
    <hyperlink ref="AE226" r:id="rId279" display="https://www.ncbi.nlm.nih.gov/pubmed/9037738" xr:uid="{00000000-0004-0000-0000-00002B010000}"/>
    <hyperlink ref="AE36" r:id="rId280" display="https://www.ncbi.nlm.nih.gov/pubmed/10024977" xr:uid="{00000000-0004-0000-0000-00002C010000}"/>
    <hyperlink ref="AE203" r:id="rId281" display="https://www.ncbi.nlm.nih.gov/pubmed/6091472" xr:uid="{00000000-0004-0000-0000-00002D010000}"/>
    <hyperlink ref="AE217" r:id="rId282" display="https://www.ncbi.nlm.nih.gov/pubmed/22905211" xr:uid="{00000000-0004-0000-0000-00002E010000}"/>
    <hyperlink ref="AE18" r:id="rId283" xr:uid="{00000000-0004-0000-0000-00002F010000}"/>
    <hyperlink ref="AE14" r:id="rId284" xr:uid="{00000000-0004-0000-0000-000030010000}"/>
    <hyperlink ref="AE207" r:id="rId285" xr:uid="{00000000-0004-0000-0000-000031010000}"/>
    <hyperlink ref="AE73" r:id="rId286" xr:uid="{00000000-0004-0000-0000-000032010000}"/>
    <hyperlink ref="AE51" r:id="rId287" xr:uid="{00000000-0004-0000-0000-000033010000}"/>
    <hyperlink ref="AE50" r:id="rId288" xr:uid="{00000000-0004-0000-0000-000034010000}"/>
    <hyperlink ref="AE202" r:id="rId289" xr:uid="{00000000-0004-0000-0000-000035010000}"/>
    <hyperlink ref="AE191" r:id="rId290" display="https://www.ncbi.nlm.nih.gov/pubmed/16705370" xr:uid="{00000000-0004-0000-0000-000036010000}"/>
    <hyperlink ref="AE93" r:id="rId291" display="https://www.ncbi.nlm.nih.gov/pubmed/23746799" xr:uid="{00000000-0004-0000-0000-000037010000}"/>
    <hyperlink ref="AE115" r:id="rId292" xr:uid="{00000000-0004-0000-0000-000038010000}"/>
    <hyperlink ref="AE147" r:id="rId293" xr:uid="{00000000-0004-0000-0000-000039010000}"/>
    <hyperlink ref="AE174" r:id="rId294" display="https://www.ncbi.nlm.nih.gov/pubmed/22874773" xr:uid="{00000000-0004-0000-0000-00003A010000}"/>
    <hyperlink ref="AE23" r:id="rId295" display="21366416" xr:uid="{00000000-0004-0000-0000-00003B010000}"/>
    <hyperlink ref="AE28" r:id="rId296" display="23161446" xr:uid="{00000000-0004-0000-0000-00003C010000}"/>
    <hyperlink ref="AE47" r:id="rId297" xr:uid="{00000000-0004-0000-0000-00003D010000}"/>
    <hyperlink ref="AE149" r:id="rId298" xr:uid="{00000000-0004-0000-0000-00003E010000}"/>
    <hyperlink ref="AE167" r:id="rId299" xr:uid="{00000000-0004-0000-0000-00003F010000}"/>
    <hyperlink ref="AE148" r:id="rId300" xr:uid="{00000000-0004-0000-0000-000040010000}"/>
    <hyperlink ref="AE44" r:id="rId301" xr:uid="{00000000-0004-0000-0000-000041010000}"/>
    <hyperlink ref="AE221" r:id="rId302" xr:uid="{00000000-0004-0000-0000-000042010000}"/>
    <hyperlink ref="AE71" r:id="rId303" xr:uid="{00000000-0004-0000-0000-000043010000}"/>
    <hyperlink ref="AE97" r:id="rId304" xr:uid="{00000000-0004-0000-0000-000044010000}"/>
    <hyperlink ref="AE87" r:id="rId305" display="https://www.ncbi.nlm.nih.gov/pubmed/22300969" xr:uid="{00000000-0004-0000-0000-000045010000}"/>
    <hyperlink ref="AE206" r:id="rId306" display="24986085" xr:uid="{00000000-0004-0000-0000-000046010000}"/>
    <hyperlink ref="AE215" r:id="rId307" xr:uid="{00000000-0004-0000-0000-000047010000}"/>
    <hyperlink ref="AE220" r:id="rId308" display="https://www.ncbi.nlm.nih.gov/pubmed/20519386" xr:uid="{00000000-0004-0000-0000-000048010000}"/>
    <hyperlink ref="AE4" r:id="rId309" display="https://www.ncbi.nlm.nih.gov/pubmed/12615305" xr:uid="{00000000-0004-0000-0000-000049010000}"/>
    <hyperlink ref="AE199" r:id="rId310" xr:uid="{00000000-0004-0000-0000-00004A010000}"/>
    <hyperlink ref="AE101" r:id="rId311" display="https://www.ncbi.nlm.nih.gov/pubmed/22214864" xr:uid="{00000000-0004-0000-0000-00004B010000}"/>
    <hyperlink ref="AE139" r:id="rId312" display="https://www.ncbi.nlm.nih.gov/pubmed/21289119" xr:uid="{00000000-0004-0000-0000-00004C010000}"/>
    <hyperlink ref="AE117" r:id="rId313" display="https://www.ncbi.nlm.nih.gov/pubmed/12789111" xr:uid="{00000000-0004-0000-0000-00004D010000}"/>
    <hyperlink ref="AE116" r:id="rId314" display="https://www.ncbi.nlm.nih.gov/pubmed/19501478" xr:uid="{00000000-0004-0000-0000-00004E010000}"/>
    <hyperlink ref="AE67" r:id="rId315" display="https://www.ncbi.nlm.nih.gov/pubmed/19833455" xr:uid="{00000000-0004-0000-0000-00004F010000}"/>
    <hyperlink ref="AE219" r:id="rId316" display="https://www.ncbi.nlm.nih.gov/pubmed/21752915" xr:uid="{00000000-0004-0000-0000-000050010000}"/>
    <hyperlink ref="AE214" r:id="rId317" display="https://www.ncbi.nlm.nih.gov/pubmed/18680655" xr:uid="{00000000-0004-0000-0000-000051010000}"/>
    <hyperlink ref="AE25" r:id="rId318" display="https://www.ncbi.nlm.nih.gov/pubmed/22320357" xr:uid="{00000000-0004-0000-0000-000052010000}"/>
    <hyperlink ref="AE198" r:id="rId319" display="https://www.ncbi.nlm.nih.gov/pubmed/3034087" xr:uid="{00000000-0004-0000-0000-000053010000}"/>
    <hyperlink ref="AE169" r:id="rId320" display="https://www.ncbi.nlm.nih.gov/pubmed/25996404" xr:uid="{00000000-0004-0000-0000-000054010000}"/>
    <hyperlink ref="AF145" r:id="rId321" display="https://pubmed.ncbi.nlm.nih.gov/38870100/" xr:uid="{00000000-0004-0000-0000-000055010000}"/>
    <hyperlink ref="AE12" r:id="rId322" display="https://pubmed.ncbi.nlm.nih.gov/27278118/" xr:uid="{00000000-0004-0000-0000-000056010000}"/>
    <hyperlink ref="AE109" r:id="rId323" display="https://pubmed.ncbi.nlm.nih.gov/38640700/" xr:uid="{00000000-0004-0000-0000-000057010000}"/>
    <hyperlink ref="AE142" r:id="rId324" display="https://pubmed.ncbi.nlm.nih.gov/12615306/" xr:uid="{00000000-0004-0000-0000-000058010000}"/>
    <hyperlink ref="AE145" r:id="rId325" display="https://pubmed.ncbi.nlm.nih.gov/33496245/" xr:uid="{00000000-0004-0000-0000-000059010000}"/>
    <hyperlink ref="AE151" r:id="rId326" display="https://pubmed.ncbi.nlm.nih.gov/27723176/" xr:uid="{00000000-0004-0000-0000-00005A010000}"/>
    <hyperlink ref="AF151" r:id="rId327" display="https://pubmed.ncbi.nlm.nih.gov/17460053/" xr:uid="{00000000-0004-0000-0000-00005B010000}"/>
    <hyperlink ref="P148" r:id="rId328" display="https://www.ncbi.nlm.nih.gov/pubmed/15778036" xr:uid="{00000000-0004-0000-0000-00005C010000}"/>
    <hyperlink ref="P149" r:id="rId329" display="https://www.ncbi.nlm.nih.gov/pubmed/4374322" xr:uid="{00000000-0004-0000-0000-00005D010000}"/>
    <hyperlink ref="P150" r:id="rId330" display="21323673" xr:uid="{00000000-0004-0000-0000-00005E010000}"/>
    <hyperlink ref="Q152" r:id="rId331" display="https://www.ncbi.nlm.nih.gov/pubmed/?term=28446680" xr:uid="{00000000-0004-0000-0000-00005F010000}"/>
    <hyperlink ref="P158" r:id="rId332" display="23097448" xr:uid="{00000000-0004-0000-0000-000060010000}"/>
    <hyperlink ref="Q158" r:id="rId333" display="https://www.ncbi.nlm.nih.gov/pubmed/28081564" xr:uid="{00000000-0004-0000-0000-000061010000}"/>
    <hyperlink ref="P164" r:id="rId334" display="https://www.ncbi.nlm.nih.gov/pubmed/29186347" xr:uid="{00000000-0004-0000-0000-000062010000}"/>
    <hyperlink ref="Q164" r:id="rId335" display="https://www.ncbi.nlm.nih.gov/pubmed/?term=21345956" xr:uid="{00000000-0004-0000-0000-000063010000}"/>
    <hyperlink ref="P162" r:id="rId336" display="https://www.ncbi.nlm.nih.gov/pubmed/29186347" xr:uid="{00000000-0004-0000-0000-000064010000}"/>
    <hyperlink ref="Q162" r:id="rId337" display="https://www.ncbi.nlm.nih.gov/pubmed/29350142" xr:uid="{00000000-0004-0000-0000-000065010000}"/>
    <hyperlink ref="P167" r:id="rId338" display="https://www.ncbi.nlm.nih.gov/pubmed/15778036" xr:uid="{00000000-0004-0000-0000-000066010000}"/>
    <hyperlink ref="P168" r:id="rId339" display="https://www.ncbi.nlm.nih.gov/pubmed/19161728" xr:uid="{00000000-0004-0000-0000-000067010000}"/>
    <hyperlink ref="Q168" r:id="rId340" display="https://www.ncbi.nlm.nih.gov/pubmed/29380396" xr:uid="{00000000-0004-0000-0000-000068010000}"/>
    <hyperlink ref="Q170" r:id="rId341" display="https://www.ncbi.nlm.nih.gov/pubmed/23097447" xr:uid="{00000000-0004-0000-0000-000069010000}"/>
    <hyperlink ref="P170" r:id="rId342" display="20587198" xr:uid="{00000000-0004-0000-0000-00006A010000}"/>
    <hyperlink ref="P171" r:id="rId343" display="23665770" xr:uid="{00000000-0004-0000-0000-00006B010000}"/>
    <hyperlink ref="P172" r:id="rId344" display="https://www.ncbi.nlm.nih.gov/pubmed/27641729" xr:uid="{00000000-0004-0000-0000-00006C010000}"/>
    <hyperlink ref="Q172" r:id="rId345" display="https://www.ncbi.nlm.nih.gov/pubmed/19759142" xr:uid="{00000000-0004-0000-0000-00006D010000}"/>
    <hyperlink ref="P173" r:id="rId346" display="24756465" xr:uid="{00000000-0004-0000-0000-00006E010000}"/>
    <hyperlink ref="P175" r:id="rId347" display="https://www.ncbi.nlm.nih.gov/pubmed/29780032" xr:uid="{00000000-0004-0000-0000-00006F010000}"/>
    <hyperlink ref="Q175" r:id="rId348" display="https://www.ncbi.nlm.nih.gov/pubmed/24662675" xr:uid="{00000000-0004-0000-0000-000070010000}"/>
    <hyperlink ref="P218" r:id="rId349" display="https://www.ncbi.nlm.nih.gov/pubmed/17592121" xr:uid="{00000000-0004-0000-0000-000071010000}"/>
    <hyperlink ref="P210" r:id="rId350" display="2122998" xr:uid="{00000000-0004-0000-0000-000072010000}"/>
    <hyperlink ref="Q210" r:id="rId351" display="https://www.ncbi.nlm.nih.gov/pubmed/18679786" xr:uid="{00000000-0004-0000-0000-000073010000}"/>
    <hyperlink ref="P213" r:id="rId352" display="https://www.ncbi.nlm.nih.gov/pubmed/15330133" xr:uid="{00000000-0004-0000-0000-000074010000}"/>
    <hyperlink ref="Q213" r:id="rId353" display="https://www.ncbi.nlm.nih.gov/pubmed/28805733" xr:uid="{00000000-0004-0000-0000-000075010000}"/>
    <hyperlink ref="P179" r:id="rId354" display="https://www.ncbi.nlm.nih.gov/pubmed/29211835" xr:uid="{00000000-0004-0000-0000-000076010000}"/>
    <hyperlink ref="Q176" r:id="rId355" display="https://www.ncbi.nlm.nih.gov/pubmed/25147276" xr:uid="{00000000-0004-0000-0000-000077010000}"/>
    <hyperlink ref="P181" r:id="rId356" display="https://www.ncbi.nlm.nih.gov/pubmed/9437261" xr:uid="{00000000-0004-0000-0000-000078010000}"/>
    <hyperlink ref="Q181" r:id="rId357" display="https://www.ncbi.nlm.nih.gov/pubmed/16485481" xr:uid="{00000000-0004-0000-0000-000079010000}"/>
    <hyperlink ref="P186" r:id="rId358" display="https://www.ncbi.nlm.nih.gov/pubmed/21087785" xr:uid="{00000000-0004-0000-0000-00007A010000}"/>
    <hyperlink ref="P182" r:id="rId359" display="https://www.ncbi.nlm.nih.gov/pubmed/18252101" xr:uid="{00000000-0004-0000-0000-00007B010000}"/>
    <hyperlink ref="P183" r:id="rId360" display="https://www.ncbi.nlm.nih.gov/pubmed/9546784" xr:uid="{00000000-0004-0000-0000-00007C010000}"/>
    <hyperlink ref="P184" r:id="rId361" display="https://www.ncbi.nlm.nih.gov/pubmed/12241782" xr:uid="{00000000-0004-0000-0000-00007D010000}"/>
    <hyperlink ref="P187" r:id="rId362" display="https://www.ncbi.nlm.nih.gov/pubmed/25495308" xr:uid="{00000000-0004-0000-0000-00007E010000}"/>
    <hyperlink ref="P188" r:id="rId363" display="https://www.ncbi.nlm.nih.gov/pubmed/18445390" xr:uid="{00000000-0004-0000-0000-00007F010000}"/>
    <hyperlink ref="P189" r:id="rId364" display="https://www.ncbi.nlm.nih.gov/pubmed/25192547" xr:uid="{00000000-0004-0000-0000-000080010000}"/>
    <hyperlink ref="P192" r:id="rId365" display="https://www.ncbi.nlm.nih.gov/pubmed/4635777" xr:uid="{00000000-0004-0000-0000-000081010000}"/>
    <hyperlink ref="P193" r:id="rId366" display="22612895" xr:uid="{00000000-0004-0000-0000-000082010000}"/>
    <hyperlink ref="P217" r:id="rId367" display="15964158" xr:uid="{00000000-0004-0000-0000-000083010000}"/>
    <hyperlink ref="P178" r:id="rId368" display="https://www.ncbi.nlm.nih.gov/pubmed/28193549" xr:uid="{00000000-0004-0000-0000-000084010000}"/>
    <hyperlink ref="P4" r:id="rId369" display="https://www.ncbi.nlm.nih.gov/pubmed/18421377" xr:uid="{00000000-0004-0000-0000-000085010000}"/>
    <hyperlink ref="P6" r:id="rId370" display="https://www.ncbi.nlm.nih.gov/pubmed/?term=Venezuelan+Hemorrhagic+Fever%3A+Clinical+and+Epidemiological+Studies+of+165+Cases" xr:uid="{00000000-0004-0000-0000-000086010000}"/>
    <hyperlink ref="P8" r:id="rId371" display="15487592" xr:uid="{00000000-0004-0000-0000-000087010000}"/>
    <hyperlink ref="P9" r:id="rId372" display="https://www.ncbi.nlm.nih.gov/pubmed/25393244/" xr:uid="{00000000-0004-0000-0000-000088010000}"/>
    <hyperlink ref="P5" r:id="rId373" display="https://www.ncbi.nlm.nih.gov/pubmed/?term=lymphocytic+choriomeningitis+2012+bonthius" xr:uid="{00000000-0004-0000-0000-000089010000}"/>
    <hyperlink ref="P10" r:id="rId374" display="https://www.ncbi.nlm.nih.gov/pubmed/24636947" xr:uid="{00000000-0004-0000-0000-00008A010000}"/>
    <hyperlink ref="P3" r:id="rId375" display="https://www.ncbi.nlm.nih.gov/pubmed/4998616" xr:uid="{00000000-0004-0000-0000-00008B010000}"/>
    <hyperlink ref="P2" r:id="rId376" display="https://www.ncbi.nlm.nih.gov/pubmed/7905555" xr:uid="{00000000-0004-0000-0000-00008C010000}"/>
    <hyperlink ref="P16" r:id="rId377" display="https://www.ncbi.nlm.nih.gov/pubmed/19239759" xr:uid="{00000000-0004-0000-0000-00008D010000}"/>
    <hyperlink ref="P15" r:id="rId378" display="https://www.ncbi.nlm.nih.gov/pubmed/?term=19814825" xr:uid="{00000000-0004-0000-0000-00008E010000}"/>
    <hyperlink ref="P17" r:id="rId379" display="https://www.ncbi.nlm.nih.gov/pubmed/?term=19706703" xr:uid="{00000000-0004-0000-0000-00008F010000}"/>
    <hyperlink ref="P19" r:id="rId380" display="https://www.ncbi.nlm.nih.gov/pubmed/26154788?dopt=Abstract" xr:uid="{00000000-0004-0000-0000-000090010000}"/>
    <hyperlink ref="P20" r:id="rId381" display="https://www.ncbi.nlm.nih.gov/pubmed/11479930?dopt=Abstract" xr:uid="{00000000-0004-0000-0000-000091010000}"/>
    <hyperlink ref="P21" r:id="rId382" display="https://www.ncbi.nlm.nih.gov/pubmed/22752792" xr:uid="{00000000-0004-0000-0000-000092010000}"/>
    <hyperlink ref="P22" r:id="rId383" display="https://www.ncbi.nlm.nih.gov/pubmed/?term=9502467" xr:uid="{00000000-0004-0000-0000-000093010000}"/>
    <hyperlink ref="P23" r:id="rId384" display="https://www.ncbi.nlm.nih.gov/pubmed/15034574" xr:uid="{00000000-0004-0000-0000-000094010000}"/>
    <hyperlink ref="P24" r:id="rId385" display="https://www.ncbi.nlm.nih.gov/pubmed/?term=29427907" xr:uid="{00000000-0004-0000-0000-000095010000}"/>
    <hyperlink ref="P26" r:id="rId386" display="https://www.ncbi.nlm.nih.gov/pubmed/29846148" xr:uid="{00000000-0004-0000-0000-000096010000}"/>
    <hyperlink ref="P29" r:id="rId387" display="https://www.ncbi.nlm.nih.gov/pubmed/27344959" xr:uid="{00000000-0004-0000-0000-000097010000}"/>
    <hyperlink ref="Q29" r:id="rId388" display="https://www.ncbi.nlm.nih.gov/pubmed/?term=26336062" xr:uid="{00000000-0004-0000-0000-000098010000}"/>
    <hyperlink ref="P32" r:id="rId389" display="10024977" xr:uid="{00000000-0004-0000-0000-000099010000}"/>
    <hyperlink ref="P33" r:id="rId390" display="23155478" xr:uid="{00000000-0004-0000-0000-00009A010000}"/>
    <hyperlink ref="P34" r:id="rId391" display="23155478" xr:uid="{00000000-0004-0000-0000-00009B010000}"/>
    <hyperlink ref="Q34" r:id="rId392" display="https://www.ncbi.nlm.nih.gov/pubmed/?term=8800792" xr:uid="{00000000-0004-0000-0000-00009C010000}"/>
    <hyperlink ref="P35" r:id="rId393" display="23155478" xr:uid="{00000000-0004-0000-0000-00009D010000}"/>
    <hyperlink ref="Q35" r:id="rId394" display="https://www.ncbi.nlm.nih.gov/pubmed/?term=24747773" xr:uid="{00000000-0004-0000-0000-00009E010000}"/>
    <hyperlink ref="P39" r:id="rId395" display="https://www.ncbi.nlm.nih.gov/pubmed/?term=19570951" xr:uid="{00000000-0004-0000-0000-00009F010000}"/>
    <hyperlink ref="P40" r:id="rId396" display="https://www.ncbi.nlm.nih.gov/pubmed/13832180" xr:uid="{00000000-0004-0000-0000-0000A0010000}"/>
    <hyperlink ref="P47" r:id="rId397" display="https://www.ncbi.nlm.nih.gov/pubmed/?term=1657626" xr:uid="{00000000-0004-0000-0000-0000A1010000}"/>
    <hyperlink ref="Q49" r:id="rId398" display="https://www.ncbi.nlm.nih.gov/pubmed/?term=29043965" xr:uid="{00000000-0004-0000-0000-0000A2010000}"/>
    <hyperlink ref="R50" r:id="rId399" display="https://www.ncbi.nlm.nih.gov/pubmed/?term=27794390" xr:uid="{00000000-0004-0000-0000-0000A3010000}"/>
    <hyperlink ref="P51" r:id="rId400" display="https://www.ncbi.nlm.nih.gov/pubmed/?term=28220635" xr:uid="{00000000-0004-0000-0000-0000A4010000}"/>
    <hyperlink ref="P52" r:id="rId401" display="19486319" xr:uid="{00000000-0004-0000-0000-0000A5010000}"/>
    <hyperlink ref="P54" r:id="rId402" display="10726271" xr:uid="{00000000-0004-0000-0000-0000A6010000}"/>
    <hyperlink ref="Q54" r:id="rId403" display="https://www.ncbi.nlm.nih.gov/pubmed/18143619" xr:uid="{00000000-0004-0000-0000-0000A7010000}"/>
    <hyperlink ref="P55" r:id="rId404" display="https://www.ncbi.nlm.nih.gov/pubmed/?term=29044370" xr:uid="{00000000-0004-0000-0000-0000A8010000}"/>
    <hyperlink ref="P58" r:id="rId405" display="https://www.ncbi.nlm.nih.gov/pubmed/20850178" xr:uid="{00000000-0004-0000-0000-0000A9010000}"/>
    <hyperlink ref="P41" r:id="rId406" display="https://www.ncbi.nlm.nih.gov/pubmed/626270" xr:uid="{00000000-0004-0000-0000-0000AA010000}"/>
    <hyperlink ref="P53" r:id="rId407" display="https://www.ncbi.nlm.nih.gov/pubmed/23474474" xr:uid="{00000000-0004-0000-0000-0000AB010000}"/>
    <hyperlink ref="P60" r:id="rId408" display="https://www.ncbi.nlm.nih.gov/pubmed/23551969" xr:uid="{00000000-0004-0000-0000-0000AC010000}"/>
    <hyperlink ref="P61" r:id="rId409" display="https://www.ncbi.nlm.nih.gov/pubmed/?term=13077697" xr:uid="{00000000-0004-0000-0000-0000AD010000}"/>
    <hyperlink ref="P38" r:id="rId410" display="https://www.ncbi.nlm.nih.gov/pubmed/?term=5107116" xr:uid="{00000000-0004-0000-0000-0000AE010000}"/>
    <hyperlink ref="P42" r:id="rId411" display="https://www.ncbi.nlm.nih.gov/pubmed/11113383" xr:uid="{00000000-0004-0000-0000-0000AF010000}"/>
    <hyperlink ref="P48" r:id="rId412" display="https://www.ncbi.nlm.nih.gov/pubmed/11113383" xr:uid="{00000000-0004-0000-0000-0000B0010000}"/>
    <hyperlink ref="P59" r:id="rId413" display="https://www.ncbi.nlm.nih.gov/pubmed/18959500" xr:uid="{00000000-0004-0000-0000-0000B1010000}"/>
    <hyperlink ref="Q45" r:id="rId414" display="https://www.ncbi.nlm.nih.gov/pubmed/23377671" xr:uid="{00000000-0004-0000-0000-0000B2010000}"/>
    <hyperlink ref="P45" r:id="rId415" display="22924442" xr:uid="{00000000-0004-0000-0000-0000B3010000}"/>
    <hyperlink ref="P62" r:id="rId416" display="6300226" xr:uid="{00000000-0004-0000-0000-0000B4010000}"/>
    <hyperlink ref="P63" r:id="rId417" display="https://www.ncbi.nlm.nih.gov/pubmed/28616499" xr:uid="{00000000-0004-0000-0000-0000B5010000}"/>
    <hyperlink ref="Q56" r:id="rId418" display="https://www.ncbi.nlm.nih.gov/pubmed/29535295" xr:uid="{00000000-0004-0000-0000-0000B6010000}"/>
    <hyperlink ref="P56" r:id="rId419" display="https://www.ncbi.nlm.nih.gov/pubmed/29309636" xr:uid="{00000000-0004-0000-0000-0000B7010000}"/>
    <hyperlink ref="P64" r:id="rId420" display="https://www.ncbi.nlm.nih.gov/pubmed/28647173" xr:uid="{00000000-0004-0000-0000-0000B8010000}"/>
    <hyperlink ref="P37" r:id="rId421" display="https://www.ncbi.nlm.nih.gov/pubmed/28252637" xr:uid="{00000000-0004-0000-0000-0000B9010000}"/>
    <hyperlink ref="P65" r:id="rId422" display="26658760" xr:uid="{00000000-0004-0000-0000-0000BA010000}"/>
    <hyperlink ref="P68" r:id="rId423" display="https://www.ncbi.nlm.nih.gov/pubmed/25272189" xr:uid="{00000000-0004-0000-0000-0000BB010000}"/>
    <hyperlink ref="P69" r:id="rId424" display="https://www.ncbi.nlm.nih.gov/pubmed/24274585" xr:uid="{00000000-0004-0000-0000-0000BC010000}"/>
    <hyperlink ref="P71" r:id="rId425" display="https://www.ncbi.nlm.nih.gov/pubmed/22877560" xr:uid="{00000000-0004-0000-0000-0000BD010000}"/>
    <hyperlink ref="Q71" r:id="rId426" display="https://www.ncbi.nlm.nih.gov/pubmed/15004109" xr:uid="{00000000-0004-0000-0000-0000BE010000}"/>
    <hyperlink ref="P73" r:id="rId427" display="https://www.ncbi.nlm.nih.gov/pubmed/15569801" xr:uid="{00000000-0004-0000-0000-0000BF010000}"/>
    <hyperlink ref="P75" r:id="rId428" display="https://www.ncbi.nlm.nih.gov/pubmed/16650330" xr:uid="{00000000-0004-0000-0000-0000C0010000}"/>
    <hyperlink ref="P76" r:id="rId429" display="https://www.ncbi.nlm.nih.gov/pubmed/20187741" xr:uid="{00000000-0004-0000-0000-0000C1010000}"/>
    <hyperlink ref="P77" r:id="rId430" display="https://www.ncbi.nlm.nih.gov/pubmed/29023435" xr:uid="{00000000-0004-0000-0000-0000C2010000}"/>
    <hyperlink ref="P72" r:id="rId431" display="https://www.ncbi.nlm.nih.gov/pubmed/20380897" xr:uid="{00000000-0004-0000-0000-0000C3010000}"/>
    <hyperlink ref="P78" r:id="rId432" display="https://www.ncbi.nlm.nih.gov/pubmed/8603954" xr:uid="{00000000-0004-0000-0000-0000C4010000}"/>
    <hyperlink ref="P81" r:id="rId433" display="https://www.ncbi.nlm.nih.gov/pubmed/17182762" xr:uid="{00000000-0004-0000-0000-0000C5010000}"/>
    <hyperlink ref="P80" r:id="rId434" display="https://www.ncbi.nlm.nih.gov/pubmed/9000098" xr:uid="{00000000-0004-0000-0000-0000C6010000}"/>
    <hyperlink ref="P74" r:id="rId435" display="https://www.ncbi.nlm.nih.gov/pubmed/8579086" xr:uid="{00000000-0004-0000-0000-0000C7010000}"/>
    <hyperlink ref="P70" r:id="rId436" display="https://www.ncbi.nlm.nih.gov/pubmed/11062031" xr:uid="{00000000-0004-0000-0000-0000C8010000}"/>
    <hyperlink ref="P79" r:id="rId437" display="https://www.ncbi.nlm.nih.gov/pubmed/17124002" xr:uid="{00000000-0004-0000-0000-0000C9010000}"/>
    <hyperlink ref="P93" r:id="rId438" display="22371588" xr:uid="{00000000-0004-0000-0000-0000CA010000}"/>
    <hyperlink ref="Q93" r:id="rId439" display="https://www.ncbi.nlm.nih.gov/pubmed/19782482" xr:uid="{00000000-0004-0000-0000-0000CB010000}"/>
    <hyperlink ref="P103" r:id="rId440" display="https://www.ncbi.nlm.nih.gov/pubmed/18150790" xr:uid="{00000000-0004-0000-0000-0000CC010000}"/>
    <hyperlink ref="P99" r:id="rId441" display="https://www.ncbi.nlm.nih.gov/pubmed/20113550" xr:uid="{00000000-0004-0000-0000-0000CD010000}"/>
    <hyperlink ref="P100" r:id="rId442" display="23302882" xr:uid="{00000000-0004-0000-0000-0000CE010000}"/>
    <hyperlink ref="P101" r:id="rId443" display="https://www.ncbi.nlm.nih.gov/pubmed/13273120" xr:uid="{00000000-0004-0000-0000-0000CF010000}"/>
    <hyperlink ref="P110" r:id="rId444" display="https://www.ncbi.nlm.nih.gov/pubmed/23152534" xr:uid="{00000000-0004-0000-0000-0000D0010000}"/>
    <hyperlink ref="P102" r:id="rId445" display="https://www.ncbi.nlm.nih.gov/pubmed/24501402" xr:uid="{00000000-0004-0000-0000-0000D1010000}"/>
    <hyperlink ref="P111" r:id="rId446" display="https://www.ncbi.nlm.nih.gov/pubmed/9621198" xr:uid="{00000000-0004-0000-0000-0000D2010000}"/>
    <hyperlink ref="Q111" r:id="rId447" display="https://www.ncbi.nlm.nih.gov/pubmed/9621197" xr:uid="{00000000-0004-0000-0000-0000D3010000}"/>
    <hyperlink ref="P112" r:id="rId448" display="https://www.ncbi.nlm.nih.gov/pubmed/?term=24447466" xr:uid="{00000000-0004-0000-0000-0000D4010000}"/>
    <hyperlink ref="P113" r:id="rId449" display="https://www.ncbi.nlm.nih.gov/pubmed/17703419" xr:uid="{00000000-0004-0000-0000-0000D5010000}"/>
    <hyperlink ref="P114" r:id="rId450" display="https://www.ncbi.nlm.nih.gov/pubmed/6304611" xr:uid="{00000000-0004-0000-0000-0000D6010000}"/>
    <hyperlink ref="P104" r:id="rId451" display="https://www.ncbi.nlm.nih.gov/pubmed/16145100" xr:uid="{00000000-0004-0000-0000-0000D7010000}"/>
    <hyperlink ref="P13" r:id="rId452" display="https://www.ncbi.nlm.nih.gov/pubmed/10958585" xr:uid="{00000000-0004-0000-0000-0000D8010000}"/>
    <hyperlink ref="P43" r:id="rId453" display="10072155" xr:uid="{00000000-0004-0000-0000-0000D9010000}"/>
    <hyperlink ref="Q43" r:id="rId454" display="https://www.ncbi.nlm.nih.gov/pubmed/23851439" xr:uid="{00000000-0004-0000-0000-0000DA010000}"/>
    <hyperlink ref="P57" r:id="rId455" display="https://www.ncbi.nlm.nih.gov/pubmed/638547" xr:uid="{00000000-0004-0000-0000-0000DB010000}"/>
    <hyperlink ref="P82" r:id="rId456" display="17961279" xr:uid="{00000000-0004-0000-0000-0000DC010000}"/>
    <hyperlink ref="P87" r:id="rId457" display="22889105" xr:uid="{00000000-0004-0000-0000-0000DD010000}"/>
    <hyperlink ref="P91" r:id="rId458" display="https://www.ncbi.nlm.nih.gov/pubmed/10879642/" xr:uid="{00000000-0004-0000-0000-0000DE010000}"/>
    <hyperlink ref="P98" r:id="rId459" display="https://www.ncbi.nlm.nih.gov/pubmed/22526290" xr:uid="{00000000-0004-0000-0000-0000DF010000}"/>
    <hyperlink ref="P97" r:id="rId460" display="https://www.ncbi.nlm.nih.gov/pubmed/22526290" xr:uid="{00000000-0004-0000-0000-0000E0010000}"/>
    <hyperlink ref="P121" r:id="rId461" display="21435229" xr:uid="{00000000-0004-0000-0000-0000E1010000}"/>
    <hyperlink ref="P119" r:id="rId462" display="https://www.ncbi.nlm.nih.gov/pubmed/14106040/" xr:uid="{00000000-0004-0000-0000-0000E2010000}"/>
    <hyperlink ref="P123" r:id="rId463" display="20810845" xr:uid="{00000000-0004-0000-0000-0000E3010000}"/>
    <hyperlink ref="P129" r:id="rId464" display="https://www.ncbi.nlm.nih.gov/pubmed/?term=Nyando+virus%3A+A+hitherto+undescribed+virus+isolated+fromAnopheles+funestus+giles+collected+in+Kenya" xr:uid="{00000000-0004-0000-0000-0000E4010000}"/>
    <hyperlink ref="P131" r:id="rId465" display="16318707" xr:uid="{00000000-0004-0000-0000-0000E5010000}"/>
    <hyperlink ref="P134" r:id="rId466" display="https://www.ncbi.nlm.nih.gov/pubmed/8115796/" xr:uid="{00000000-0004-0000-0000-0000E6010000}"/>
    <hyperlink ref="P136" r:id="rId467" display="https://www.ncbi.nlm.nih.gov/pubmed/22278828/" xr:uid="{00000000-0004-0000-0000-0000E7010000}"/>
    <hyperlink ref="P143" r:id="rId468" display="https://www.ncbi.nlm.nih.gov/pubmed/25934793" xr:uid="{00000000-0004-0000-0000-0000E8010000}"/>
    <hyperlink ref="P141" r:id="rId469" display="https://www.ncbi.nlm.nih.gov/pubmed/16925964/" xr:uid="{00000000-0004-0000-0000-0000E9010000}"/>
    <hyperlink ref="P140" r:id="rId470" display="https://www.ncbi.nlm.nih.gov/pubmed/16318715" xr:uid="{00000000-0004-0000-0000-0000EA010000}"/>
    <hyperlink ref="P137" r:id="rId471" display="24451093" xr:uid="{00000000-0004-0000-0000-0000EB010000}"/>
    <hyperlink ref="P216" r:id="rId472" display="https://www.ncbi.nlm.nih.gov/pubmed/22526290" xr:uid="{00000000-0004-0000-0000-0000EC010000}"/>
    <hyperlink ref="P215" r:id="rId473" display="https://www.ncbi.nlm.nih.gov/pubmed/15938513" xr:uid="{00000000-0004-0000-0000-0000ED010000}"/>
    <hyperlink ref="P208" r:id="rId474" display="26350980" xr:uid="{00000000-0004-0000-0000-0000EE010000}"/>
    <hyperlink ref="P214" r:id="rId475" display="https://www.ncbi.nlm.nih.gov/pubmed/16318717/" xr:uid="{00000000-0004-0000-0000-0000EF010000}"/>
    <hyperlink ref="P196" r:id="rId476" display="https://www.ncbi.nlm.nih.gov/pubmed/23028323" xr:uid="{00000000-0004-0000-0000-0000F0010000}"/>
    <hyperlink ref="P199" r:id="rId477" display="15929402" xr:uid="{00000000-0004-0000-0000-0000F1010000}"/>
    <hyperlink ref="P202" r:id="rId478" display="https://www.ncbi.nlm.nih.gov/pubmed/192094/" xr:uid="{00000000-0004-0000-0000-0000F2010000}"/>
    <hyperlink ref="P203" r:id="rId479" display="https://www.ncbi.nlm.nih.gov/pubmed/6091472/" xr:uid="{00000000-0004-0000-0000-0000F3010000}"/>
    <hyperlink ref="P219" r:id="rId480" display="https://www.ncbi.nlm.nih.gov/pubmed/18279007/" xr:uid="{00000000-0004-0000-0000-0000F4010000}"/>
    <hyperlink ref="P220" r:id="rId481" display="20889861" xr:uid="{00000000-0004-0000-0000-0000F5010000}"/>
    <hyperlink ref="P221" r:id="rId482" display="https://www.ncbi.nlm.nih.gov/pubmed/22522323" xr:uid="{00000000-0004-0000-0000-0000F6010000}"/>
    <hyperlink ref="P201" r:id="rId483" display="https://www.ncbi.nlm.nih.gov/pubmed/10328837" xr:uid="{00000000-0004-0000-0000-0000F7010000}"/>
    <hyperlink ref="P194" r:id="rId484" display="https://www.ncbi.nlm.nih.gov/pubmed/25781465" xr:uid="{00000000-0004-0000-0000-0000F8010000}"/>
    <hyperlink ref="P195" r:id="rId485" display="https://www.ncbi.nlm.nih.gov/pubmed/25781465" xr:uid="{00000000-0004-0000-0000-0000F9010000}"/>
    <hyperlink ref="P226" r:id="rId486" display="https://www.ncbi.nlm.nih.gov/pubmed/16968922" xr:uid="{00000000-0004-0000-0000-0000FA010000}"/>
    <hyperlink ref="P229" r:id="rId487" display="https://www.ncbi.nlm.nih.gov/pubmed/23006778" xr:uid="{00000000-0004-0000-0000-0000FB010000}"/>
    <hyperlink ref="P231" r:id="rId488" display="https://www.ncbi.nlm.nih.gov/pubmed/28829253" xr:uid="{00000000-0004-0000-0000-0000FC010000}"/>
    <hyperlink ref="P233" r:id="rId489" display="17360861" xr:uid="{00000000-0004-0000-0000-0000FD010000}"/>
    <hyperlink ref="P235" r:id="rId490" display="https://www.ncbi.nlm.nih.gov/pubmed/20085692" xr:uid="{00000000-0004-0000-0000-0000FE010000}"/>
    <hyperlink ref="P237" r:id="rId491" display="17658571" xr:uid="{00000000-0004-0000-0000-0000FF010000}"/>
    <hyperlink ref="P238" r:id="rId492" display="7563415" xr:uid="{00000000-0004-0000-0000-000000020000}"/>
    <hyperlink ref="P239" r:id="rId493" display="https://www.ncbi.nlm.nih.gov/pubmed/13062068" xr:uid="{00000000-0004-0000-0000-000001020000}"/>
    <hyperlink ref="P240" r:id="rId494" display="https://www.ncbi.nlm.nih.gov/pubmed/16222361" xr:uid="{00000000-0004-0000-0000-000002020000}"/>
    <hyperlink ref="Q11" r:id="rId495" display="https://www.ncbi.nlm.nih.gov/pubmed/26982388" xr:uid="{00000000-0004-0000-0000-000003020000}"/>
    <hyperlink ref="P11" r:id="rId496" display="2986324" xr:uid="{00000000-0004-0000-0000-000004020000}"/>
    <hyperlink ref="P14" r:id="rId497" display="25278582" xr:uid="{00000000-0004-0000-0000-000005020000}"/>
    <hyperlink ref="P18" r:id="rId498" display="10089006" xr:uid="{00000000-0004-0000-0000-000006020000}"/>
    <hyperlink ref="Q18" r:id="rId499" display="11189720" xr:uid="{00000000-0004-0000-0000-000007020000}"/>
    <hyperlink ref="P25" r:id="rId500" display="https://www.ncbi.nlm.nih.gov/pubmed/28549438" xr:uid="{00000000-0004-0000-0000-000008020000}"/>
    <hyperlink ref="Q27" r:id="rId501" display="https://www.ncbi.nlm.nih.gov/pubmed/?term=15650185" xr:uid="{00000000-0004-0000-0000-000009020000}"/>
    <hyperlink ref="P27" r:id="rId502" display="https://www.ncbi.nlm.nih.gov/pubmed/28549438" xr:uid="{00000000-0004-0000-0000-00000A020000}"/>
    <hyperlink ref="P28" r:id="rId503" display="28616442" xr:uid="{00000000-0004-0000-0000-00000B020000}"/>
    <hyperlink ref="Q33" r:id="rId504" display="15178190" xr:uid="{00000000-0004-0000-0000-00000C020000}"/>
    <hyperlink ref="P36" r:id="rId505" display="17712412" xr:uid="{00000000-0004-0000-0000-00000D020000}"/>
    <hyperlink ref="Q36" r:id="rId506" display="https://www.ncbi.nlm.nih.gov/pubmed/17712412" xr:uid="{00000000-0004-0000-0000-00000E020000}"/>
    <hyperlink ref="Q65" r:id="rId507" display="26658760" xr:uid="{00000000-0004-0000-0000-00000F020000}"/>
    <hyperlink ref="P66" r:id="rId508" display="https://www.ncbi.nlm.nih.gov/pubmed/21084497" xr:uid="{00000000-0004-0000-0000-000010020000}"/>
    <hyperlink ref="Q141" r:id="rId509" display="https://www.ncbi.nlm.nih.gov/pubmed/18360907" xr:uid="{00000000-0004-0000-0000-000012020000}"/>
    <hyperlink ref="P31" r:id="rId510" display="https://www.ncbi.nlm.nih.gov/pubmed/?term=20587179" xr:uid="{00000000-0004-0000-0000-000013020000}"/>
    <hyperlink ref="R88" r:id="rId511" display="£33,815,379.00" xr:uid="{00000000-0004-0000-0000-000014020000}"/>
    <hyperlink ref="AL25" r:id="rId512" display="https://www.ncbi.nlm.nih.gov/pubmed/22320357" xr:uid="{00000000-0004-0000-0000-000015020000}"/>
    <hyperlink ref="AL169" r:id="rId513" display="https://www.ncbi.nlm.nih.gov/pubmed/25996404" xr:uid="{00000000-0004-0000-0000-000016020000}"/>
    <hyperlink ref="AL103" r:id="rId514" display="22135263" xr:uid="{00000000-0004-0000-0000-000017020000}"/>
    <hyperlink ref="AL39" r:id="rId515" display="https://www.ncbi.nlm.nih.gov/pubmed/22486922" xr:uid="{00000000-0004-0000-0000-000018020000}"/>
    <hyperlink ref="AL214" r:id="rId516" display="https://www.ncbi.nlm.nih.gov/pubmed/18680655" xr:uid="{00000000-0004-0000-0000-000019020000}"/>
    <hyperlink ref="AL40" r:id="rId517" display="https://www.ncbi.nlm.nih.gov/pubmed/6300226" xr:uid="{00000000-0004-0000-0000-00001A020000}"/>
    <hyperlink ref="AL219" r:id="rId518" display="https://www.ncbi.nlm.nih.gov/pubmed/21752915" xr:uid="{00000000-0004-0000-0000-00001B020000}"/>
    <hyperlink ref="AL69" r:id="rId519" display="https://www.ncbi.nlm.nih.gov/pubmed/20836801" xr:uid="{00000000-0004-0000-0000-00001C020000}"/>
    <hyperlink ref="AL27" r:id="rId520" display="https://www.ncbi.nlm.nih.gov/pubmed/22362949" xr:uid="{00000000-0004-0000-0000-00001D020000}"/>
    <hyperlink ref="AL67" r:id="rId521" display="https://www.ncbi.nlm.nih.gov/pubmed/20638945" xr:uid="{00000000-0004-0000-0000-00001E020000}"/>
    <hyperlink ref="AL116" r:id="rId522" display="https://www.ncbi.nlm.nih.gov/pubmed/19501478" xr:uid="{00000000-0004-0000-0000-00001F020000}"/>
    <hyperlink ref="AL117" r:id="rId523" display="https://www.ncbi.nlm.nih.gov/pubmed/12789111" xr:uid="{00000000-0004-0000-0000-000020020000}"/>
    <hyperlink ref="AL121" r:id="rId524" display="https://www.ncbi.nlm.nih.gov/pubmed/6126267" xr:uid="{00000000-0004-0000-0000-000021020000}"/>
    <hyperlink ref="AM121" r:id="rId525" display="21435229" xr:uid="{00000000-0004-0000-0000-000022020000}"/>
    <hyperlink ref="AL139" r:id="rId526" display="https://www.ncbi.nlm.nih.gov/pubmed/21289119" xr:uid="{00000000-0004-0000-0000-000023020000}"/>
    <hyperlink ref="AL101" r:id="rId527" display="https://www.ncbi.nlm.nih.gov/pubmed/22214864" xr:uid="{00000000-0004-0000-0000-000024020000}"/>
    <hyperlink ref="AL119" r:id="rId528" display="https://www.ncbi.nlm.nih.gov/pubmed/17705031" xr:uid="{00000000-0004-0000-0000-000025020000}"/>
    <hyperlink ref="AL150" r:id="rId529" display="9833886" xr:uid="{00000000-0004-0000-0000-000026020000}"/>
    <hyperlink ref="AM150" r:id="rId530" display="21323673" xr:uid="{00000000-0004-0000-0000-000027020000}"/>
    <hyperlink ref="AL152" r:id="rId531" display="20410900" xr:uid="{00000000-0004-0000-0000-000028020000}"/>
    <hyperlink ref="AL120" r:id="rId532" display="204207" xr:uid="{00000000-0004-0000-0000-000029020000}"/>
    <hyperlink ref="AL199" r:id="rId533" display="22721825" xr:uid="{00000000-0004-0000-0000-00002A020000}"/>
    <hyperlink ref="AM199" r:id="rId534" display="15929402" xr:uid="{00000000-0004-0000-0000-00002B020000}"/>
    <hyperlink ref="AL4" r:id="rId535" xr:uid="{00000000-0004-0000-0000-00002C020000}"/>
    <hyperlink ref="AL220" r:id="rId536" display="21118930" xr:uid="{00000000-0004-0000-0000-00002D020000}"/>
    <hyperlink ref="AL70" r:id="rId537" display="23836565" xr:uid="{00000000-0004-0000-0000-00002E020000}"/>
    <hyperlink ref="AL200" r:id="rId538" display="21830071" xr:uid="{00000000-0004-0000-0000-00002F020000}"/>
    <hyperlink ref="AL215" r:id="rId539" display="17126919" xr:uid="{00000000-0004-0000-0000-000030020000}"/>
    <hyperlink ref="AL87" r:id="rId540" display="3140434" xr:uid="{00000000-0004-0000-0000-000031020000}"/>
    <hyperlink ref="AM87" r:id="rId541" display="22889105" xr:uid="{00000000-0004-0000-0000-000032020000}"/>
    <hyperlink ref="AM43" r:id="rId542" display="10072155" xr:uid="{00000000-0004-0000-0000-000033020000}"/>
    <hyperlink ref="AL97" r:id="rId543" display="22526290" xr:uid="{00000000-0004-0000-0000-000034020000}"/>
    <hyperlink ref="AL71" r:id="rId544" display="22877560" xr:uid="{00000000-0004-0000-0000-000035020000}"/>
    <hyperlink ref="AL221" r:id="rId545" display="10466964" xr:uid="{00000000-0004-0000-0000-000036020000}"/>
    <hyperlink ref="AL44" r:id="rId546" display="19486319" xr:uid="{00000000-0004-0000-0000-000037020000}"/>
    <hyperlink ref="AM158" r:id="rId547" display="23097448" xr:uid="{00000000-0004-0000-0000-000038020000}"/>
    <hyperlink ref="AL160" r:id="rId548" display="23097448" xr:uid="{00000000-0004-0000-0000-000039020000}"/>
    <hyperlink ref="AL163" r:id="rId549" display="25079078" xr:uid="{00000000-0004-0000-0000-00003A020000}"/>
    <hyperlink ref="AL164" r:id="rId550" display="21345956" xr:uid="{00000000-0004-0000-0000-00003B020000}"/>
    <hyperlink ref="AL148" r:id="rId551" display="15778036" xr:uid="{00000000-0004-0000-0000-00003C020000}"/>
    <hyperlink ref="AL167" r:id="rId552" display="23960171" xr:uid="{00000000-0004-0000-0000-00003D020000}"/>
    <hyperlink ref="AL189" r:id="rId553" display="18632972" xr:uid="{00000000-0004-0000-0000-00003E020000}"/>
    <hyperlink ref="AL190" r:id="rId554" display="22937876" xr:uid="{00000000-0004-0000-0000-00003F020000}"/>
    <hyperlink ref="AL216" r:id="rId555" display="16318717" xr:uid="{00000000-0004-0000-0000-000040020000}"/>
    <hyperlink ref="AL149" r:id="rId556" display="18834510" xr:uid="{00000000-0004-0000-0000-000041020000}"/>
    <hyperlink ref="AL47" r:id="rId557" display="19486319" xr:uid="{00000000-0004-0000-0000-000042020000}"/>
    <hyperlink ref="AL122" r:id="rId558" display="204207" xr:uid="{00000000-0004-0000-0000-000043020000}"/>
    <hyperlink ref="AL6" r:id="rId559" xr:uid="{00000000-0004-0000-0000-000044020000}"/>
    <hyperlink ref="AL123" r:id="rId560" display="1928574" xr:uid="{00000000-0004-0000-0000-000045020000}"/>
    <hyperlink ref="AM123" r:id="rId561" display="20810845" xr:uid="{00000000-0004-0000-0000-000046020000}"/>
    <hyperlink ref="AL37" r:id="rId562" display="19065353" xr:uid="{00000000-0004-0000-0000-000047020000}"/>
    <hyperlink ref="AL224" r:id="rId563" display="2849884" xr:uid="{00000000-0004-0000-0000-000048020000}"/>
    <hyperlink ref="AM224" r:id="rId564" display="8827668" xr:uid="{00000000-0004-0000-0000-000049020000}"/>
    <hyperlink ref="AL24" r:id="rId565" xr:uid="{00000000-0004-0000-0000-00004A020000}"/>
    <hyperlink ref="AL28" r:id="rId566" xr:uid="{00000000-0004-0000-0000-00004B020000}"/>
    <hyperlink ref="AL23" r:id="rId567" xr:uid="{00000000-0004-0000-0000-00004C020000}"/>
    <hyperlink ref="AL179" r:id="rId568" display="17507975" xr:uid="{00000000-0004-0000-0000-00004D020000}"/>
    <hyperlink ref="AL180" r:id="rId569" display="17507975" xr:uid="{00000000-0004-0000-0000-00004E020000}"/>
    <hyperlink ref="AL175" r:id="rId570" display="22931057" xr:uid="{00000000-0004-0000-0000-00004F020000}"/>
    <hyperlink ref="AL147" r:id="rId571" display="17245535" xr:uid="{00000000-0004-0000-0000-000050020000}"/>
    <hyperlink ref="AL115" r:id="rId572" display="21466639" xr:uid="{00000000-0004-0000-0000-000051020000}"/>
    <hyperlink ref="AL48" r:id="rId573" display="11359196" xr:uid="{00000000-0004-0000-0000-000052020000}"/>
    <hyperlink ref="AM48" r:id="rId574" display="https://www.ncbi.nlm.nih.gov/pubmed/11113383" xr:uid="{00000000-0004-0000-0000-000053020000}"/>
    <hyperlink ref="AL201" r:id="rId575" display="12296402" xr:uid="{00000000-0004-0000-0000-000054020000}"/>
    <hyperlink ref="AM93" r:id="rId576" display="22371588" xr:uid="{00000000-0004-0000-0000-000055020000}"/>
    <hyperlink ref="AL94" r:id="rId577" display="25673727" xr:uid="{00000000-0004-0000-0000-000056020000}"/>
    <hyperlink ref="AM94" r:id="rId578" display="22710350" xr:uid="{00000000-0004-0000-0000-000057020000}"/>
    <hyperlink ref="AL95" r:id="rId579" display="9140195" xr:uid="{00000000-0004-0000-0000-000058020000}"/>
    <hyperlink ref="AM95" r:id="rId580" display="1325663" xr:uid="{00000000-0004-0000-0000-000059020000}"/>
    <hyperlink ref="AL202" r:id="rId581" display="192094" xr:uid="{00000000-0004-0000-0000-00005A020000}"/>
    <hyperlink ref="AL49" r:id="rId582" display="22883515" xr:uid="{00000000-0004-0000-0000-00005B020000}"/>
    <hyperlink ref="AL7" r:id="rId583" xr:uid="{00000000-0004-0000-0000-00005D020000}"/>
    <hyperlink ref="AL124" r:id="rId584" display="3143273" xr:uid="{00000000-0004-0000-0000-00005E020000}"/>
    <hyperlink ref="AL50" r:id="rId585" display="10930658" xr:uid="{00000000-0004-0000-0000-00005F020000}"/>
    <hyperlink ref="AL51" r:id="rId586" display="19788811" xr:uid="{00000000-0004-0000-0000-000060020000}"/>
    <hyperlink ref="AL73" r:id="rId587" display="11791973" xr:uid="{00000000-0004-0000-0000-000061020000}"/>
    <hyperlink ref="AL207" r:id="rId588" display="24475112" xr:uid="{00000000-0004-0000-0000-000062020000}"/>
    <hyperlink ref="AL10" r:id="rId589" xr:uid="{00000000-0004-0000-0000-000063020000}"/>
    <hyperlink ref="AL127" r:id="rId590" display="16051848" xr:uid="{00000000-0004-0000-0000-000064020000}"/>
    <hyperlink ref="AL14" r:id="rId591" display="https://www.ncbi.nlm.nih.gov/pubmed/16546454" xr:uid="{00000000-0004-0000-0000-000065020000}"/>
    <hyperlink ref="AL18" r:id="rId592" xr:uid="{00000000-0004-0000-0000-000066020000}"/>
    <hyperlink ref="AL217" r:id="rId593" display="22931153" xr:uid="{00000000-0004-0000-0000-000067020000}"/>
    <hyperlink ref="AM217" r:id="rId594" display="https://www.ncbi.nlm.nih.gov/pubmed/15964158" xr:uid="{00000000-0004-0000-0000-000068020000}"/>
    <hyperlink ref="AL106" r:id="rId595" display="15448364" xr:uid="{00000000-0004-0000-0000-000069020000}"/>
    <hyperlink ref="AM106" r:id="rId596" display="https://www.ncbi.nlm.nih.gov/pubmed/26583313" xr:uid="{00000000-0004-0000-0000-00006A020000}"/>
    <hyperlink ref="AL36" r:id="rId597" xr:uid="{00000000-0004-0000-0000-00006B020000}"/>
    <hyperlink ref="AL128" r:id="rId598" display="16051848" xr:uid="{00000000-0004-0000-0000-00006C020000}"/>
    <hyperlink ref="AL226" r:id="rId599" display="14609474" xr:uid="{00000000-0004-0000-0000-00006D020000}"/>
    <hyperlink ref="AL26" r:id="rId600" xr:uid="{00000000-0004-0000-0000-00006E020000}"/>
    <hyperlink ref="AL227" r:id="rId601" display="17947533" xr:uid="{00000000-0004-0000-0000-00006F020000}"/>
    <hyperlink ref="AL228" r:id="rId602" display="17947533" xr:uid="{00000000-0004-0000-0000-000070020000}"/>
    <hyperlink ref="AL107" r:id="rId603" display="28068914" xr:uid="{00000000-0004-0000-0000-000071020000}"/>
    <hyperlink ref="AL55" r:id="rId604" display="6299259" xr:uid="{00000000-0004-0000-0000-000072020000}"/>
    <hyperlink ref="AL229" r:id="rId605" display="23006778" xr:uid="{00000000-0004-0000-0000-000073020000}"/>
    <hyperlink ref="AL204" r:id="rId606" display="12296402" xr:uid="{00000000-0004-0000-0000-000074020000}"/>
    <hyperlink ref="AL100" r:id="rId607" display="11243752" xr:uid="{00000000-0004-0000-0000-000075020000}"/>
    <hyperlink ref="AL20" r:id="rId608" xr:uid="{00000000-0004-0000-0000-000076020000}"/>
    <hyperlink ref="AL57" r:id="rId609" display="22996737" xr:uid="{00000000-0004-0000-0000-000077020000}"/>
    <hyperlink ref="AL58" r:id="rId610" display="20850178" xr:uid="{00000000-0004-0000-0000-000078020000}"/>
    <hyperlink ref="AL231" r:id="rId611" display="10466973" xr:uid="{00000000-0004-0000-0000-000079020000}"/>
    <hyperlink ref="AL130" r:id="rId612" display="16051848" xr:uid="{00000000-0004-0000-0000-00007A020000}"/>
    <hyperlink ref="AL131" r:id="rId613" display="20727376" xr:uid="{00000000-0004-0000-0000-00007B020000}"/>
    <hyperlink ref="AM131" r:id="rId614" display="https://www.ncbi.nlm.nih.gov/pubmed/16318707" xr:uid="{00000000-0004-0000-0000-00007C020000}"/>
    <hyperlink ref="AL82" r:id="rId615" display="19697413" xr:uid="{00000000-0004-0000-0000-00007D020000}"/>
    <hyperlink ref="AL170" r:id="rId616" display="17311340" xr:uid="{00000000-0004-0000-0000-00007E020000}"/>
    <hyperlink ref="AM170" r:id="rId617" display="20587198" xr:uid="{00000000-0004-0000-0000-00007F020000}"/>
    <hyperlink ref="AL171" r:id="rId618" display="17311340" xr:uid="{00000000-0004-0000-0000-000080020000}"/>
    <hyperlink ref="AM171" r:id="rId619" display="23665770" xr:uid="{00000000-0004-0000-0000-000081020000}"/>
    <hyperlink ref="AL132" r:id="rId620" display="3981" xr:uid="{00000000-0004-0000-0000-000082020000}"/>
    <hyperlink ref="AL66" r:id="rId621" display="https://www.ncbi.nlm.nih.gov/pubmed/22752515" xr:uid="{00000000-0004-0000-0000-000083020000}"/>
    <hyperlink ref="AL205" r:id="rId622" display="6747282" xr:uid="{00000000-0004-0000-0000-000084020000}"/>
    <hyperlink ref="AL232" r:id="rId623" display="19402767" xr:uid="{00000000-0004-0000-0000-000085020000}"/>
    <hyperlink ref="AL59" r:id="rId624" display="3017527" xr:uid="{00000000-0004-0000-0000-000086020000}"/>
    <hyperlink ref="AL176" r:id="rId625" display="8627240" xr:uid="{00000000-0004-0000-0000-000087020000}"/>
    <hyperlink ref="AL177" r:id="rId626" display="8627240" xr:uid="{00000000-0004-0000-0000-000088020000}"/>
    <hyperlink ref="AL178" r:id="rId627" display="8627240" xr:uid="{00000000-0004-0000-0000-000089020000}"/>
    <hyperlink ref="AL143" r:id="rId628" display="19393266" xr:uid="{00000000-0004-0000-0000-00008A020000}"/>
    <hyperlink ref="AL75" r:id="rId629" display="22877560" xr:uid="{00000000-0004-0000-0000-00008B020000}"/>
    <hyperlink ref="AL193" r:id="rId630" display="6749977" xr:uid="{00000000-0004-0000-0000-00008C020000}"/>
    <hyperlink ref="AM193" r:id="rId631" display="22612895" xr:uid="{00000000-0004-0000-0000-00008D020000}"/>
    <hyperlink ref="AL32" r:id="rId632" xr:uid="{00000000-0004-0000-0000-00008E020000}"/>
    <hyperlink ref="AM32" r:id="rId633" xr:uid="{00000000-0004-0000-0000-00008F020000}"/>
    <hyperlink ref="AL159" r:id="rId634" display="6312099" xr:uid="{00000000-0004-0000-0000-000090020000}"/>
    <hyperlink ref="AL161" r:id="rId635" display="6312099" xr:uid="{00000000-0004-0000-0000-000091020000}"/>
    <hyperlink ref="AL162" r:id="rId636" display="6312099" xr:uid="{00000000-0004-0000-0000-000092020000}"/>
    <hyperlink ref="AL141" r:id="rId637" display="10817634" xr:uid="{00000000-0004-0000-0000-000093020000}"/>
    <hyperlink ref="AL41" r:id="rId638" display="22457530" xr:uid="{00000000-0004-0000-0000-000094020000}"/>
    <hyperlink ref="AL233" r:id="rId639" display="23054414" xr:uid="{00000000-0004-0000-0000-000095020000}"/>
    <hyperlink ref="AM233" r:id="rId640" display="17360861" xr:uid="{00000000-0004-0000-0000-000096020000}"/>
    <hyperlink ref="AL210" r:id="rId641" display="18712810" xr:uid="{00000000-0004-0000-0000-000097020000}"/>
    <hyperlink ref="AM210" r:id="rId642" display="2122998" xr:uid="{00000000-0004-0000-0000-000098020000}"/>
    <hyperlink ref="AL213" r:id="rId643" display="18712810" xr:uid="{00000000-0004-0000-0000-000099020000}"/>
    <hyperlink ref="AL84" r:id="rId644" display="22855483" xr:uid="{00000000-0004-0000-0000-00009A020000}"/>
    <hyperlink ref="AM84" r:id="rId645" display="17038700" xr:uid="{00000000-0004-0000-0000-00009B020000}"/>
    <hyperlink ref="AL2" r:id="rId646" xr:uid="{00000000-0004-0000-0000-00009C020000}"/>
    <hyperlink ref="AL21" r:id="rId647" xr:uid="{00000000-0004-0000-0000-00009D020000}"/>
    <hyperlink ref="AL234" r:id="rId648" display="17947533" xr:uid="{00000000-0004-0000-0000-00009E020000}"/>
    <hyperlink ref="AL29" r:id="rId649" xr:uid="{00000000-0004-0000-0000-00009F020000}"/>
    <hyperlink ref="AL133" r:id="rId650" display="22305525" xr:uid="{00000000-0004-0000-0000-0000A0020000}"/>
    <hyperlink ref="AL185" r:id="rId651" display="19485797" xr:uid="{00000000-0004-0000-0000-0000A1020000}"/>
    <hyperlink ref="AL181" r:id="rId652" display="17507975" xr:uid="{00000000-0004-0000-0000-0000A2020000}"/>
    <hyperlink ref="AL235" r:id="rId653" display="15554947" xr:uid="{00000000-0004-0000-0000-0000A3020000}"/>
    <hyperlink ref="AL53" r:id="rId654" display="480524" xr:uid="{00000000-0004-0000-0000-0000A4020000}"/>
    <hyperlink ref="AL33" r:id="rId655" xr:uid="{00000000-0004-0000-0000-0000A5020000}"/>
    <hyperlink ref="AM33" r:id="rId656" xr:uid="{00000000-0004-0000-0000-0000A6020000}"/>
    <hyperlink ref="AL34" r:id="rId657" xr:uid="{00000000-0004-0000-0000-0000A7020000}"/>
    <hyperlink ref="AM34" r:id="rId658" xr:uid="{00000000-0004-0000-0000-0000A8020000}"/>
    <hyperlink ref="AL60" r:id="rId659" display="22000358" xr:uid="{00000000-0004-0000-0000-0000A9020000}"/>
    <hyperlink ref="AL79" r:id="rId660" display="16953877" xr:uid="{00000000-0004-0000-0000-0000AA020000}"/>
    <hyperlink ref="AL98" r:id="rId661" display="22526290" xr:uid="{00000000-0004-0000-0000-0000AB020000}"/>
    <hyperlink ref="AL81" r:id="rId662" display="17182762" xr:uid="{00000000-0004-0000-0000-0000AC020000}"/>
    <hyperlink ref="AL45" r:id="rId663" display="18240970" xr:uid="{00000000-0004-0000-0000-0000AD020000}"/>
    <hyperlink ref="AM45" r:id="rId664" display="22924442" xr:uid="{00000000-0004-0000-0000-0000AE020000}"/>
    <hyperlink ref="AM236" r:id="rId665" display="7435797" xr:uid="{00000000-0004-0000-0000-0000AF020000}"/>
    <hyperlink ref="AL80" r:id="rId666" display="19889769" xr:uid="{00000000-0004-0000-0000-0000B0020000}"/>
    <hyperlink ref="AL61" r:id="rId667" display="19741066" xr:uid="{00000000-0004-0000-0000-0000B1020000}"/>
    <hyperlink ref="AL237" r:id="rId668" display="17947533" xr:uid="{00000000-0004-0000-0000-0000B2020000}"/>
    <hyperlink ref="AM237" r:id="rId669" display="17658571" xr:uid="{00000000-0004-0000-0000-0000B3020000}"/>
    <hyperlink ref="AL62" r:id="rId670" display="22389712" xr:uid="{00000000-0004-0000-0000-0000B4020000}"/>
    <hyperlink ref="AM62" r:id="rId671" display="6300226" xr:uid="{00000000-0004-0000-0000-0000B5020000}"/>
    <hyperlink ref="AL146" r:id="rId672" display="23283959" xr:uid="{00000000-0004-0000-0000-0000B6020000}"/>
    <hyperlink ref="AL238" r:id="rId673" display="2863991" xr:uid="{00000000-0004-0000-0000-0000B7020000}"/>
    <hyperlink ref="AM238" r:id="rId674" display="7563415" xr:uid="{00000000-0004-0000-0000-0000B8020000}"/>
    <hyperlink ref="AL63" r:id="rId675" display="6300226" xr:uid="{00000000-0004-0000-0000-0000B9020000}"/>
    <hyperlink ref="AL56" r:id="rId676" display="17471040" xr:uid="{00000000-0004-0000-0000-0000BA020000}"/>
    <hyperlink ref="AL239" r:id="rId677" display="2863991" xr:uid="{00000000-0004-0000-0000-0000BB020000}"/>
    <hyperlink ref="AL240" r:id="rId678" display="17947533" xr:uid="{00000000-0004-0000-0000-0000BC020000}"/>
    <hyperlink ref="AL46" r:id="rId679" display="15138077" xr:uid="{00000000-0004-0000-0000-0000BD020000}"/>
    <hyperlink ref="AM46" r:id="rId680" display="11113383" xr:uid="{00000000-0004-0000-0000-0000BE020000}"/>
    <hyperlink ref="AL35" r:id="rId681" xr:uid="{00000000-0004-0000-0000-0000BF020000}"/>
    <hyperlink ref="AM35" r:id="rId682" xr:uid="{00000000-0004-0000-0000-0000C0020000}"/>
    <hyperlink ref="AL64" r:id="rId683" display="21529401" xr:uid="{00000000-0004-0000-0000-0000C1020000}"/>
    <hyperlink ref="AL19" r:id="rId684" xr:uid="{00000000-0004-0000-0000-0000C2020000}"/>
    <hyperlink ref="AM27" r:id="rId685" display="https://www.ncbi.nlm.nih.gov/pubmed/28549438" xr:uid="{00000000-0004-0000-0000-0000C3020000}"/>
    <hyperlink ref="AM25" r:id="rId686" display="https://www.ncbi.nlm.nih.gov/pubmed/28549438" xr:uid="{00000000-0004-0000-0000-0000C4020000}"/>
    <hyperlink ref="AL38" r:id="rId687" display="https://www.ncbi.nlm.nih.gov/pubmed/6293325" xr:uid="{00000000-0004-0000-0000-0000C5020000}"/>
    <hyperlink ref="AL196" r:id="rId688" display="https://www.ncbi.nlm.nih.gov/pubmed/23028323" xr:uid="{00000000-0004-0000-0000-0000C6020000}"/>
    <hyperlink ref="AM42" r:id="rId689" display="https://www.ncbi.nlm.nih.gov/pubmed/11113383" xr:uid="{00000000-0004-0000-0000-0000C7020000}"/>
    <hyperlink ref="AL42" r:id="rId690" display="https://www.ncbi.nlm.nih.gov/pubmed/28220327" xr:uid="{00000000-0004-0000-0000-0000C8020000}"/>
    <hyperlink ref="AL206" r:id="rId691" display="24285662" xr:uid="{00000000-0004-0000-0000-0000C9020000}"/>
    <hyperlink ref="AL86" r:id="rId692" display="8666081" xr:uid="{00000000-0004-0000-0000-0000CA020000}"/>
    <hyperlink ref="AL208" r:id="rId693" display="16216136" xr:uid="{00000000-0004-0000-0000-0000CB020000}"/>
    <hyperlink ref="AM208" r:id="rId694" display="26350980" xr:uid="{00000000-0004-0000-0000-0000CC020000}"/>
    <hyperlink ref="AL105" r:id="rId695" display="10769073" xr:uid="{00000000-0004-0000-0000-0000CD020000}"/>
    <hyperlink ref="AL104" r:id="rId696" display="28095926" xr:uid="{00000000-0004-0000-0000-0000CE020000}"/>
    <hyperlink ref="AL9" r:id="rId697" xr:uid="{00000000-0004-0000-0000-0000CF020000}"/>
    <hyperlink ref="AL16" r:id="rId698" xr:uid="{00000000-0004-0000-0000-0000D0020000}"/>
    <hyperlink ref="AL15" r:id="rId699" xr:uid="{00000000-0004-0000-0000-0000D1020000}"/>
    <hyperlink ref="AL17" r:id="rId700" xr:uid="{00000000-0004-0000-0000-0000D2020000}"/>
    <hyperlink ref="AL203" r:id="rId701" display="https://www.ncbi.nlm.nih.gov/pubmed/6091472" xr:uid="{00000000-0004-0000-0000-0000D3020000}"/>
    <hyperlink ref="AL11" r:id="rId702" display="https://www.ncbi.nlm.nih.gov/pubmed/26982388" xr:uid="{00000000-0004-0000-0000-0000D4020000}"/>
    <hyperlink ref="AL129" r:id="rId703" display="28488954" xr:uid="{00000000-0004-0000-0000-0000D5020000}"/>
    <hyperlink ref="AL209" r:id="rId704" display="24475112" xr:uid="{00000000-0004-0000-0000-0000D6020000}"/>
    <hyperlink ref="AL3" r:id="rId705" xr:uid="{00000000-0004-0000-0000-0000D7020000}"/>
    <hyperlink ref="AL211" r:id="rId706" display="26658066" xr:uid="{00000000-0004-0000-0000-0000D8020000}"/>
    <hyperlink ref="AL140" r:id="rId707" display="27783676" xr:uid="{00000000-0004-0000-0000-0000D9020000}"/>
    <hyperlink ref="AL76" r:id="rId708" display="22278233" xr:uid="{00000000-0004-0000-0000-0000DA020000}"/>
    <hyperlink ref="AM137" r:id="rId709" display="24451093" xr:uid="{00000000-0004-0000-0000-0000DB020000}"/>
    <hyperlink ref="AL136" r:id="rId710" display="22278828" xr:uid="{00000000-0004-0000-0000-0000DC020000}"/>
    <hyperlink ref="AL183" r:id="rId711" display="10516034" xr:uid="{00000000-0004-0000-0000-0000DD020000}"/>
    <hyperlink ref="AL187" r:id="rId712" display="28033365" xr:uid="{00000000-0004-0000-0000-0000DE020000}"/>
    <hyperlink ref="AL173" r:id="rId713" display="23763901" xr:uid="{00000000-0004-0000-0000-0000DF020000}"/>
    <hyperlink ref="AM173" r:id="rId714" display="24756465" xr:uid="{00000000-0004-0000-0000-0000E0020000}"/>
    <hyperlink ref="AL74" r:id="rId715" display="20455779" xr:uid="{00000000-0004-0000-0000-0000E1020000}"/>
    <hyperlink ref="AL78" r:id="rId716" display="23110096" xr:uid="{00000000-0004-0000-0000-0000E2020000}"/>
    <hyperlink ref="AL77" r:id="rId717" display="23305714" xr:uid="{00000000-0004-0000-0000-0000E3020000}"/>
    <hyperlink ref="AM52" r:id="rId718" display="https://www.ncbi.nlm.nih.gov/pubmed/19486319" xr:uid="{00000000-0004-0000-0000-0000E4020000}"/>
    <hyperlink ref="AL52" r:id="rId719" display="https://www.ncbi.nlm.nih.gov/pubmed/180846" xr:uid="{00000000-0004-0000-0000-0000E5020000}"/>
    <hyperlink ref="AL54" r:id="rId720" display="https://www.ncbi.nlm.nih.gov/pubmed/24552787" xr:uid="{00000000-0004-0000-0000-0000E6020000}"/>
    <hyperlink ref="AM54" r:id="rId721" display="10726271" xr:uid="{00000000-0004-0000-0000-0000E7020000}"/>
    <hyperlink ref="AM53" r:id="rId722" display="https://www.ncbi.nlm.nih.gov/pubmed/23474474" xr:uid="{00000000-0004-0000-0000-0000E8020000}"/>
    <hyperlink ref="AL99" r:id="rId723" display="23302882" xr:uid="{00000000-0004-0000-0000-0000E9020000}"/>
    <hyperlink ref="AM100" r:id="rId724" display="23302882" xr:uid="{00000000-0004-0000-0000-0000EA020000}"/>
    <hyperlink ref="AL168" r:id="rId725" display="26575627" xr:uid="{00000000-0004-0000-0000-0000EB020000}"/>
    <hyperlink ref="AM189" r:id="rId726" display="https://www.ncbi.nlm.nih.gov/pubmed/25192547" xr:uid="{00000000-0004-0000-0000-0000EC020000}"/>
    <hyperlink ref="AM7" r:id="rId727" display="https://www.ncbi.nlm.nih.gov/pubmed/24901990" xr:uid="{00000000-0004-0000-0000-0000ED020000}"/>
    <hyperlink ref="AM8" r:id="rId728" xr:uid="{00000000-0004-0000-0000-0000EE020000}"/>
    <hyperlink ref="AL8" r:id="rId729" xr:uid="{00000000-0004-0000-0000-0000EF020000}"/>
    <hyperlink ref="AL5" r:id="rId730" display="https://www.ncbi.nlm.nih.gov/pubmed/23666045" xr:uid="{00000000-0004-0000-0000-0000F0020000}"/>
    <hyperlink ref="AL13" r:id="rId731" xr:uid="{00000000-0004-0000-0000-0000F1020000}"/>
    <hyperlink ref="AM174" r:id="rId732" display="https://www.ncbi.nlm.nih.gov/pubmed/25417845" xr:uid="{00000000-0004-0000-0000-0000F2020000}"/>
    <hyperlink ref="AL174" r:id="rId733" display="25091145" xr:uid="{00000000-0004-0000-0000-0000F3020000}"/>
    <hyperlink ref="AL102" r:id="rId734" display="https://www.ncbi.nlm.nih.gov/pubmed/24929750" xr:uid="{00000000-0004-0000-0000-0000F4020000}"/>
    <hyperlink ref="AM102" r:id="rId735" display="https://www.ncbi.nlm.nih.gov/pubmed/24501402" xr:uid="{00000000-0004-0000-0000-0000F5020000}"/>
    <hyperlink ref="AL114" r:id="rId736" display="26658594" xr:uid="{00000000-0004-0000-0000-0000F6020000}"/>
    <hyperlink ref="AL184" r:id="rId737" display="24109214" xr:uid="{00000000-0004-0000-0000-0000F7020000}"/>
    <hyperlink ref="AL194" r:id="rId738" display="https://www.ncbi.nlm.nih.gov/pubmed/23028323" xr:uid="{00000000-0004-0000-0000-0000F8020000}"/>
    <hyperlink ref="AL195" r:id="rId739" display="https://www.ncbi.nlm.nih.gov/pubmed/23028323" xr:uid="{00000000-0004-0000-0000-0000F9020000}"/>
    <hyperlink ref="AL172" r:id="rId740" display="https://www.ncbi.nlm.nih.gov/pubmed/25889358" xr:uid="{00000000-0004-0000-0000-0000FA020000}"/>
    <hyperlink ref="AM153" r:id="rId741" display="22615791" xr:uid="{00000000-0004-0000-0000-0000FB020000}"/>
    <hyperlink ref="AM154" r:id="rId742" display="22615791" xr:uid="{00000000-0004-0000-0000-0000FC020000}"/>
    <hyperlink ref="AM155" r:id="rId743" display="22615791" xr:uid="{00000000-0004-0000-0000-0000FD020000}"/>
    <hyperlink ref="AL223" r:id="rId744" display="25898181" xr:uid="{00000000-0004-0000-0000-0000FE020000}"/>
    <hyperlink ref="AL198" r:id="rId745" display="16021308" xr:uid="{00000000-0004-0000-0000-0000FF020000}"/>
    <hyperlink ref="AL68" r:id="rId746" display="12095430" xr:uid="{00000000-0004-0000-0000-000000030000}"/>
    <hyperlink ref="AM220" r:id="rId747" display="20889861" xr:uid="{00000000-0004-0000-0000-000001030000}"/>
    <hyperlink ref="AL153" r:id="rId748" display="19033469" xr:uid="{00000000-0004-0000-0000-000002030000}"/>
    <hyperlink ref="AL154" r:id="rId749" display="19033469" xr:uid="{00000000-0004-0000-0000-000003030000}"/>
    <hyperlink ref="AL155" r:id="rId750" display="19033469" xr:uid="{00000000-0004-0000-0000-000004030000}"/>
    <hyperlink ref="AL156" r:id="rId751" display="22615791" xr:uid="{00000000-0004-0000-0000-000005030000}"/>
    <hyperlink ref="AL157" r:id="rId752" display="22615791" xr:uid="{00000000-0004-0000-0000-000006030000}"/>
    <hyperlink ref="AL188" r:id="rId753" display="19636367" xr:uid="{00000000-0004-0000-0000-000007030000}"/>
    <hyperlink ref="AL158" r:id="rId754" display="16943351" xr:uid="{00000000-0004-0000-0000-000008030000}"/>
    <hyperlink ref="AL165" r:id="rId755" display="24830424" xr:uid="{00000000-0004-0000-0000-000009030000}"/>
    <hyperlink ref="AL222" r:id="rId756" display="17326938" xr:uid="{00000000-0004-0000-0000-00000A030000}"/>
    <hyperlink ref="AL72" r:id="rId757" display="22129409" xr:uid="{00000000-0004-0000-0000-00000B030000}"/>
    <hyperlink ref="AL191" r:id="rId758" display="23505588" xr:uid="{00000000-0004-0000-0000-00000C030000}"/>
    <hyperlink ref="AM36" r:id="rId759" xr:uid="{00000000-0004-0000-0000-00000D030000}"/>
    <hyperlink ref="AL218" r:id="rId760" display="22931153" xr:uid="{00000000-0004-0000-0000-00000E030000}"/>
    <hyperlink ref="AM82" r:id="rId761" display="17961279" xr:uid="{00000000-0004-0000-0000-00000F030000}"/>
    <hyperlink ref="AL230" r:id="rId762" display="19402767" xr:uid="{00000000-0004-0000-0000-000010030000}"/>
    <hyperlink ref="AL212" r:id="rId763" display="9230391" xr:uid="{00000000-0004-0000-0000-000011030000}"/>
    <hyperlink ref="AL137" r:id="rId764" display="27035712" xr:uid="{00000000-0004-0000-0000-000012030000}"/>
    <hyperlink ref="AL108" r:id="rId765" display="https://www.ncbi.nlm.nih.gov/pubmed/2212992" xr:uid="{00000000-0004-0000-0000-000013030000}"/>
    <hyperlink ref="AL112" r:id="rId766" display="24447466" xr:uid="{00000000-0004-0000-0000-000014030000}"/>
    <hyperlink ref="AL134" r:id="rId767" display="8115796" xr:uid="{00000000-0004-0000-0000-000015030000}"/>
    <hyperlink ref="AL91" r:id="rId768" display="22864548" xr:uid="{00000000-0004-0000-0000-000016030000}"/>
    <hyperlink ref="AL113" r:id="rId769" display="17703419" xr:uid="{00000000-0004-0000-0000-000017030000}"/>
    <hyperlink ref="AL236" r:id="rId770" display="11463116" xr:uid="{00000000-0004-0000-0000-000018030000}"/>
    <hyperlink ref="AL22" r:id="rId771" xr:uid="{00000000-0004-0000-0000-000019030000}"/>
    <hyperlink ref="AL65" r:id="rId772" display="https://www.ncbi.nlm.nih.gov/pubmed/26396247" xr:uid="{00000000-0004-0000-0000-00001A030000}"/>
    <hyperlink ref="AM65" r:id="rId773" display="26658760" xr:uid="{00000000-0004-0000-0000-00001B030000}"/>
    <hyperlink ref="AL225" r:id="rId774" display="https://www.ncbi.nlm.nih.gov/pubmed/27101567" xr:uid="{00000000-0004-0000-0000-00001C030000}"/>
    <hyperlink ref="AM163" r:id="rId775" display="9071037" xr:uid="{00000000-0004-0000-0000-00001D030000}"/>
    <hyperlink ref="AM172" r:id="rId776" display="27641729" xr:uid="{00000000-0004-0000-0000-00001E030000}"/>
    <hyperlink ref="AL31" r:id="rId777" xr:uid="{00000000-0004-0000-0000-00001F030000}"/>
    <hyperlink ref="AL138" r:id="rId778" display="https://www.ncbi.nlm.nih.gov/pubmed/26401988" xr:uid="{00000000-0004-0000-0000-000020030000}"/>
    <hyperlink ref="AL109" r:id="rId779" display="https://pubmed.ncbi.nlm.nih.gov/38640700/" xr:uid="{00000000-0004-0000-0000-000021030000}"/>
    <hyperlink ref="AL151" r:id="rId780" display="[ref 1]: 27723176" xr:uid="{00000000-0004-0000-0000-000022030000}"/>
    <hyperlink ref="AM151" r:id="rId781" display="https://pubmed.ncbi.nlm.nih.gov/22114344/" xr:uid="{00000000-0004-0000-0000-000023030000}"/>
    <hyperlink ref="AM12" r:id="rId782" display="https://pubmed.ncbi.nlm.nih.gov/37394841/" xr:uid="{00000000-0004-0000-0000-000024030000}"/>
    <hyperlink ref="AL12" r:id="rId783" display="https://pubmed.ncbi.nlm.nih.gov/38031051/" xr:uid="{00000000-0004-0000-0000-000025030000}"/>
    <hyperlink ref="AL145" r:id="rId784" display="[ref 1]: 33496245" xr:uid="{00000000-0004-0000-0000-000026030000}"/>
    <hyperlink ref="AM145" r:id="rId785" display="https://pubmed.ncbi.nlm.nih.gov/38870100/" xr:uid="{00000000-0004-0000-0000-000027030000}"/>
    <hyperlink ref="AM142" r:id="rId786" display="https://pubmed.ncbi.nlm.nih.gov/36687574/" xr:uid="{00000000-0004-0000-0000-000028030000}"/>
    <hyperlink ref="AL142" r:id="rId787" display="https://pubmed.ncbi.nlm.nih.gov/6839405/" xr:uid="{00000000-0004-0000-0000-000029030000}"/>
    <hyperlink ref="AL144" r:id="rId788" display="https://pubmed.ncbi.nlm.nih.gov/27400226/" xr:uid="{00000000-0004-0000-0000-00002A030000}"/>
    <hyperlink ref="AM144" r:id="rId789" display="https://pubmed.ncbi.nlm.nih.gov/36687574/" xr:uid="{00000000-0004-0000-0000-00002B030000}"/>
  </hyperlinks>
  <pageMargins left="0.7" right="0.7" top="0.75" bottom="0.75" header="0.3" footer="0.3"/>
  <pageSetup paperSize="9" orientation="portrait" r:id="rId790"/>
  <ignoredErrors>
    <ignoredError sqref="AL2:AL3 AL4:AL7 AL8:AL10 AL11:AM36 AM8:AM10 AE3:AF48 AE161:AF190 AE160 P87 AE50:AF63 AF49 AE65:AF102 AE64 AE104:AF117 AE119:AF125 AE118 AE127:AF143 AE126 AE192:AF240 AE191 AE145:AF159 AE144" numberStoredAsText="1"/>
    <ignoredError sqref="U129:V131 U202:V206 V194:V201 N159 N121:N129 U222:V240 U221 U134:V138 V132 U217:V220 V216 U209:V215 V208 V207 U140:V193 V139 V133" formula="1"/>
    <ignoredError sqref="U194:U198 AF160 U132 U200:U201" numberStoredAsText="1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C736C250D5A8428DEB94945A3112B8" ma:contentTypeVersion="4" ma:contentTypeDescription="Create a new document." ma:contentTypeScope="" ma:versionID="1181d49db0c60964143fc19eb7c1cc1e">
  <xsd:schema xmlns:xsd="http://www.w3.org/2001/XMLSchema" xmlns:xs="http://www.w3.org/2001/XMLSchema" xmlns:p="http://schemas.microsoft.com/office/2006/metadata/properties" xmlns:ns2="b094ec44-ce87-444c-8c90-e8472c40d2ad" targetNamespace="http://schemas.microsoft.com/office/2006/metadata/properties" ma:root="true" ma:fieldsID="0f8af4cf8655912c6bad8921add9ef3b" ns2:_="">
    <xsd:import namespace="b094ec44-ce87-444c-8c90-e8472c40d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4ec44-ce87-444c-8c90-e8472c40d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93832A-B8B7-4125-94BB-3FBD09212A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94ec44-ce87-444c-8c90-e8472c40d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DD7F06-C9C2-4A51-B2AB-C181C3AAAC26}">
  <ds:schemaRefs>
    <ds:schemaRef ds:uri="http://schemas.microsoft.com/office/2006/documentManagement/types"/>
    <ds:schemaRef ds:uri="http://schemas.microsoft.com/office/infopath/2007/PartnerControls"/>
    <ds:schemaRef ds:uri="b094ec44-ce87-444c-8c90-e8472c40d2ad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B2A9BF9-309A-463F-A51A-D7E6AD4CA8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University of Edinburgh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 Feifei</dc:creator>
  <cp:keywords/>
  <dc:description/>
  <cp:lastModifiedBy>Helmi Hietanen</cp:lastModifiedBy>
  <cp:revision/>
  <dcterms:created xsi:type="dcterms:W3CDTF">2018-05-01T08:14:20Z</dcterms:created>
  <dcterms:modified xsi:type="dcterms:W3CDTF">2026-02-19T15:18:19Z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0x0101008BC736C250D5A8428DEB94945A3112B8</vt:lpwstr>
  </property>
</Properties>
</file>